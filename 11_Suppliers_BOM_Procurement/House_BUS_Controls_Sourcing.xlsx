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<sst xmlns="http://schemas.openxmlformats.org/spreadsheetml/2006/main" count="72" uniqueCount="63">
  <si>
    <t xml:space="preserve">House BUS - Controls &amp; Software Sourcing Tracker (step 3)</t>
  </si>
  <si>
    <t xml:space="preserve">V2 bus. Adopt Victron Cerbo/VRM (energy hub) + Home Assistant on a Pi (automation); self-build edge nodes, CAN/Ethernet, phone-key, deterministic safety logic.</t>
  </si>
  <si>
    <t xml:space="preserve">Tier A=build | B=adopt.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</si>
  <si>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</si>
  <si>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</si>
  <si>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</si>
  <si>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</si>
  <si>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</si>
  <si>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</si>
  <si>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</si>
  <si>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</si>
  <si>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</si>
  <si>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</si>
  <si>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ENERGY HUB / GX</t>
  </si>
  <si>
    <t xml:space="preserve">B</t>
  </si>
  <si>
    <t xml:space="preserve">Victron</t>
  </si>
  <si>
    <t xml:space="preserve">Cerbo GX + VRM</t>
  </si>
  <si>
    <t xml:space="preserve">2x CAN, relays, tank inputs</t>
  </si>
  <si>
    <t xml:space="preserve">adopt as hub</t>
  </si>
  <si>
    <t xml:space="preserve">Y</t>
  </si>
  <si>
    <t xml:space="preserve">MQTT/Modbus out</t>
  </si>
  <si>
    <t xml:space="preserve">AUTOMATION BRAIN</t>
  </si>
  <si>
    <t xml:space="preserve">A/B</t>
  </si>
  <si>
    <t xml:space="preserve">Raspberry Pi + Home Assistant</t>
  </si>
  <si>
    <t xml:space="preserve">HA on Pi (MQTT/Modbus to Cerbo)</t>
  </si>
  <si>
    <t xml:space="preserve">whole-home automation</t>
  </si>
  <si>
    <t xml:space="preserve">adopt + self-build</t>
  </si>
  <si>
    <t xml:space="preserve">huge ecosystem</t>
  </si>
  <si>
    <t xml:space="preserve">EDGE NODES</t>
  </si>
  <si>
    <t xml:space="preserve">A</t>
  </si>
  <si>
    <t xml:space="preserve">ESP32 / Pi (ESPHome)</t>
  </si>
  <si>
    <t xml:space="preserve">AQ arrays + actuators</t>
  </si>
  <si>
    <t xml:space="preserve">per-zone</t>
  </si>
  <si>
    <t xml:space="preserve">self-build</t>
  </si>
  <si>
    <t xml:space="preserve">cheap/flexible</t>
  </si>
  <si>
    <t xml:space="preserve">CAN / ETHERNET</t>
  </si>
  <si>
    <t xml:space="preserve">auto-Ethernet switch + CAN gateways</t>
  </si>
  <si>
    <t xml:space="preserve">legacy EV parts on CAN</t>
  </si>
  <si>
    <t xml:space="preserve">100/1000BASE-T1</t>
  </si>
  <si>
    <t xml:space="preserve">self-build integration</t>
  </si>
  <si>
    <t xml:space="preserve">Cerbo handles CAN</t>
  </si>
  <si>
    <t xml:space="preserve">PHONE-AS-KEY / ACCESS</t>
  </si>
  <si>
    <t xml:space="preserve">BLE module + app + keycard backup</t>
  </si>
  <si>
    <t xml:space="preserve">Tesla-style phone key</t>
  </si>
  <si>
    <t xml:space="preserve">+ mechanical override</t>
  </si>
  <si>
    <t xml:space="preserve">secure backup</t>
  </si>
  <si>
    <t xml:space="preserve">DISPLAYS</t>
  </si>
  <si>
    <t xml:space="preserve">touchscreen / tablet</t>
  </si>
  <si>
    <t xml:space="preserve">dashboard</t>
  </si>
  <si>
    <t xml:space="preserve">wall + handheld</t>
  </si>
  <si>
    <t xml:space="preserve">adopt</t>
  </si>
  <si>
    <t xml:space="preserve">HA dashboards</t>
  </si>
  <si>
    <t xml:space="preserve">V1 PICKS - indicative total:</t>
  </si>
  <si>
    <t xml:space="preserve">House BUS - Controls &amp; Software - Decision &amp; V2 Roadmap</t>
  </si>
  <si>
    <t xml:space="preserve">DECISION: adopt Victron Cerbo/VRM (energy hub) + Home Assistant on a Pi (automation brain); self-build the integration - edge-node AQ/actuator network, CAN-to-Ethernet gateways, phone-as-key, and the DETERMINISTIC LOCAL SAFETY LOGIC (never overridden by the smart layer).</t>
  </si>
  <si>
    <t xml:space="preserve">Open: top layer Home Assistant vs Venus OS; automotive-Ethernet vs simpler hub-and-CAN; phone-key implementation; safety-logic isolation (hard-wired vs software).</t>
  </si>
  <si>
    <t xml:space="preserve">V2+ headroom: more integrated custom controller; OTA; sensor fusion.</t>
  </si>
  <si>
    <t xml:space="preserve">Source</t>
  </si>
  <si>
    <t xml:space="preserve">URL</t>
  </si>
  <si>
    <t xml:space="preserve">Cerbo GX + Home Assistant</t>
  </si>
  <si>
    <t xml:space="preserve">https://diysolarforum.com/threads/my-victron-cerbo-gx-home-assistant-integration.101852/</t>
  </si>
  <si>
    <t xml:space="preserve">Cerbo vs RPi/Venus</t>
  </si>
  <si>
    <t xml:space="preserve">https://communityarchive.victronenergy.com/articles/278446/cerbo-gx-mk1-2-vs-raspberry-pi-4-model-b-the-facts.html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</si>
</sst>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400</v>
      </c>
      <c r="G7" s="6" t="n">
        <v>800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2.35" hidden="false" customHeight="false" outlineLevel="0" collapsed="false">
      <c r="A9" s="6"/>
      <c r="B9" s="6" t="s">
        <v>22</v>
      </c>
      <c r="C9" s="6" t="s">
        <v>23</v>
      </c>
      <c r="D9" s="6" t="s">
        <v>24</v>
      </c>
      <c r="E9" s="6" t="s">
        <v>25</v>
      </c>
      <c r="F9" s="6" t="n">
        <v>150</v>
      </c>
      <c r="G9" s="6" t="n">
        <v>400</v>
      </c>
      <c r="H9" s="6" t="s">
        <v>26</v>
      </c>
      <c r="I9" s="7" t="s">
        <v>19</v>
      </c>
      <c r="J9" s="6" t="s">
        <v>27</v>
      </c>
    </row>
    <row r="10" customFormat="false" ht="15" hidden="false" customHeight="false" outlineLevel="0" collapsed="false">
      <c r="A10" s="4" t="s">
        <v>28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2.35" hidden="false" customHeight="false" outlineLevel="0" collapsed="false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n">
        <v>200</v>
      </c>
      <c r="G11" s="6" t="n">
        <v>600</v>
      </c>
      <c r="H11" s="6" t="s">
        <v>33</v>
      </c>
      <c r="I11" s="7" t="s">
        <v>19</v>
      </c>
      <c r="J11" s="6" t="s">
        <v>34</v>
      </c>
    </row>
    <row r="12" customFormat="false" ht="15" hidden="false" customHeight="false" outlineLevel="0" collapsed="false">
      <c r="A12" s="4" t="s">
        <v>35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22.35" hidden="false" customHeight="false" outlineLevel="0" collapsed="false">
      <c r="A13" s="6"/>
      <c r="B13" s="6" t="s">
        <v>22</v>
      </c>
      <c r="C13" s="6" t="s">
        <v>36</v>
      </c>
      <c r="D13" s="6" t="s">
        <v>37</v>
      </c>
      <c r="E13" s="6" t="s">
        <v>38</v>
      </c>
      <c r="F13" s="6" t="n">
        <v>500</v>
      </c>
      <c r="G13" s="6" t="n">
        <v>2000</v>
      </c>
      <c r="H13" s="6" t="s">
        <v>39</v>
      </c>
      <c r="I13" s="7" t="s">
        <v>19</v>
      </c>
      <c r="J13" s="6" t="s">
        <v>40</v>
      </c>
    </row>
    <row r="14" customFormat="false" ht="15" hidden="false" customHeight="false" outlineLevel="0" collapsed="false">
      <c r="A14" s="4" t="s">
        <v>41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2.35" hidden="false" customHeight="false" outlineLevel="0" collapsed="false">
      <c r="A15" s="6"/>
      <c r="B15" s="6" t="s">
        <v>29</v>
      </c>
      <c r="C15" s="6" t="s">
        <v>42</v>
      </c>
      <c r="D15" s="6" t="s">
        <v>43</v>
      </c>
      <c r="E15" s="6" t="s">
        <v>44</v>
      </c>
      <c r="F15" s="6" t="n">
        <v>200</v>
      </c>
      <c r="G15" s="6" t="n">
        <v>800</v>
      </c>
      <c r="H15" s="6" t="s">
        <v>33</v>
      </c>
      <c r="I15" s="7" t="s">
        <v>19</v>
      </c>
      <c r="J15" s="6" t="s">
        <v>45</v>
      </c>
    </row>
    <row r="16" customFormat="false" ht="15" hidden="false" customHeight="false" outlineLevel="0" collapsed="false">
      <c r="A16" s="4" t="s">
        <v>46</v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6"/>
      <c r="B17" s="6" t="s">
        <v>14</v>
      </c>
      <c r="C17" s="6" t="s">
        <v>47</v>
      </c>
      <c r="D17" s="6" t="s">
        <v>48</v>
      </c>
      <c r="E17" s="6" t="s">
        <v>49</v>
      </c>
      <c r="F17" s="6" t="n">
        <v>300</v>
      </c>
      <c r="G17" s="6" t="n">
        <v>900</v>
      </c>
      <c r="H17" s="6" t="s">
        <v>50</v>
      </c>
      <c r="I17" s="7" t="s">
        <v>19</v>
      </c>
      <c r="J17" s="6" t="s">
        <v>51</v>
      </c>
    </row>
    <row r="19" customFormat="false" ht="15" hidden="false" customHeight="false" outlineLevel="0" collapsed="false">
      <c r="A19" s="8" t="s">
        <v>52</v>
      </c>
      <c r="B19" s="8"/>
      <c r="C19" s="8"/>
      <c r="D19" s="8"/>
      <c r="E19" s="8"/>
      <c r="F19" s="9" t="n">
        <f aca="false">SUMIF(I6:I17,"Y",F6:F17)</f>
        <v>1750</v>
      </c>
      <c r="G19" s="9" t="n">
        <f aca="false">SUMIF(I6:I17,"Y",G6:G17)</f>
        <v>5500</v>
      </c>
    </row>
  </sheetData>
  <mergeCells count="1"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0" t="s">
        <v>53</v>
      </c>
    </row>
    <row r="3" customFormat="false" ht="35.05" hidden="false" customHeight="false" outlineLevel="0" collapsed="false">
      <c r="A3" s="11" t="s">
        <v>54</v>
      </c>
    </row>
    <row r="4" customFormat="false" ht="23.85" hidden="false" customHeight="false" outlineLevel="0" collapsed="false">
      <c r="A4" s="11" t="s">
        <v>55</v>
      </c>
    </row>
    <row r="5" customFormat="false" ht="15" hidden="false" customHeight="false" outlineLevel="0" collapsed="false">
      <c r="A5" s="1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57</v>
      </c>
      <c r="B1" s="12" t="s">
        <v>58</v>
      </c>
    </row>
    <row r="2" customFormat="false" ht="15" hidden="false" customHeight="false" outlineLevel="0" collapsed="false">
      <c r="A2" s="13" t="s">
        <v>59</v>
      </c>
      <c r="B2" s="14" t="s">
        <v>60</v>
      </c>
    </row>
    <row r="3" customFormat="false" ht="15" hidden="false" customHeight="false" outlineLevel="0" collapsed="false">
      <c r="A3" s="13" t="s">
        <v>61</v>
      </c>
      <c r="B3" s="1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