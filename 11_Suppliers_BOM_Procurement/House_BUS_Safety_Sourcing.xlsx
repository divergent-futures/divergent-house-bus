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ing" sheetId="1" state="visible" r:id="rId3"/>
    <sheet name="Decision &amp; V2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<sst xmlns="http://schemas.openxmlformats.org/spreadsheetml/2006/main" count="64" uniqueCount="54">
  <si>
    <t xml:space="preserve">House BUS - Safety &amp; Egress Sourcing Tracker (step 3)</t>
  </si>
  <si>
    <t xml:space="preserve">V2 bus. Adopt detectors/suppression/egress; self-build the 4-zone AQ arrays + deterministic safety logic. Sodium pack removes the Li fire mode; residual = HV fault containment + AQ + egress.</t>
  </si>
  <si>
    <t xml:space="preserve">Tier A=build | B=adopt. Prices indicative.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</si>
  <si>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</si>
  <si>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</si>
  <si>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</si>
  <si>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</si>
  <si>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</si>
  <si>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Price low ($)</t>
  </si>
  <si>
    <t xml:space="preserve">Price high ($)</t>
  </si>
  <si>
    <t xml:space="preserve">Fit verdict</t>
  </si>
  <si>
    <t xml:space="preserve">V1 pick</t>
  </si>
  <si>
    <t xml:space="preserve">Notes / source</t>
  </si>
  <si>
    <t xml:space="preserve">SMOKE + CO DETECTORS</t>
  </si>
  <si>
    <t xml:space="preserve">B</t>
  </si>
  <si>
    <t xml:space="preserve">First Alert (RV-approved)</t>
  </si>
  <si>
    <t xml:space="preserve">smoke + CO (12V/battery)</t>
  </si>
  <si>
    <t xml:space="preserve">RV-rated</t>
  </si>
  <si>
    <t xml:space="preserve">adopt</t>
  </si>
  <si>
    <t xml:space="preserve">Y</t>
  </si>
  <si>
    <t xml:space="preserve">no propane detector (no propane)</t>
  </si>
  <si>
    <t xml:space="preserve">AQ SENSOR ARRAYS (4 zones)</t>
  </si>
  <si>
    <t xml:space="preserve">A</t>
  </si>
  <si>
    <t xml:space="preserve">Sensirion SCD40/41 + Plantower PM + CO</t>
  </si>
  <si>
    <t xml:space="preserve">NDIR CO2 + PM + CO/O2</t>
  </si>
  <si>
    <t xml:space="preserve">ESP32 arrays -&gt; Controls</t>
  </si>
  <si>
    <t xml:space="preserve">self-build</t>
  </si>
  <si>
    <t xml:space="preserve">per-zone</t>
  </si>
  <si>
    <t xml:space="preserve">HV/MECH-BAY FIRE SUPPRESSION</t>
  </si>
  <si>
    <t xml:space="preserve">Blazecut / StealthFire-class</t>
  </si>
  <si>
    <t xml:space="preserve">automatic aerosol/tube</t>
  </si>
  <si>
    <t xml:space="preserve">auto-discharge in sealed bay</t>
  </si>
  <si>
    <t xml:space="preserve">bay containment</t>
  </si>
  <si>
    <t xml:space="preserve">LIVING-SPACE EXTINGUISHERS</t>
  </si>
  <si>
    <t xml:space="preserve">ABC extinguishers</t>
  </si>
  <si>
    <t xml:space="preserve">front + rear</t>
  </si>
  <si>
    <t xml:space="preserve">code-simple</t>
  </si>
  <si>
    <t xml:space="preserve">-</t>
  </si>
  <si>
    <t xml:space="preserve">SECOND EGRESS</t>
  </si>
  <si>
    <t xml:space="preserve">RV emergency window / roof hatch</t>
  </si>
  <si>
    <t xml:space="preserve">at the bed</t>
  </si>
  <si>
    <t xml:space="preserve">independent rear exit</t>
  </si>
  <si>
    <t xml:space="preserve">never trapped</t>
  </si>
  <si>
    <t xml:space="preserve">V1 PICKS - indicative total:</t>
  </si>
  <si>
    <t xml:space="preserve">House BUS - Safety &amp; Egress - Decision &amp; V2 Roadmap</t>
  </si>
  <si>
    <t xml:space="preserve">DECISION: adopt detectors (First Alert), bay fire suppression (Blazecut-class aerosol), extinguishers, and RV egress window/hatch; SELF-BUILD the 4-zone AQ sensor arrays (Sensirion SCD40 + PM/CO) and the deterministic safety logic that consumes them (ties to Controls - local, never overridden).</t>
  </si>
  <si>
    <t xml:space="preserve">Sodium chemistry removes the biggest fire mode; residual jobs = HV fault containment (bay suppression + IMD/pyro fuse from Battery track) + air quality + egress.</t>
  </si>
  <si>
    <t xml:space="preserve">Open: HV/mech-bay suppression agent; AQ sensor selection per zone; egress placement vs frame/slide-out; CHP exhaust/CO interlock.</t>
  </si>
  <si>
    <t xml:space="preserve">Source</t>
  </si>
  <si>
    <t xml:space="preserve">URL</t>
  </si>
  <si>
    <t xml:space="preserve">First Alert RV smoke + CO</t>
  </si>
  <si>
    <t xml:space="preserve">https://support.firstalert.com/s/article/rv-smoke-co</t>
  </si>
  <si>
    <t xml:space="preserve">Sensirion SCD40 CO2</t>
  </si>
  <si>
    <t xml:space="preserve">https://sensirion.com/products/catalog/SCD40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</si>
</sst>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7" min="6" style="0" width="11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customFormat="false" ht="15" hidden="false" customHeight="false" outlineLevel="0" collapsed="false">
      <c r="A6" s="4" t="s">
        <v>13</v>
      </c>
      <c r="B6" s="5"/>
      <c r="C6" s="5"/>
      <c r="D6" s="5"/>
      <c r="E6" s="5"/>
      <c r="F6" s="5"/>
      <c r="G6" s="5"/>
      <c r="H6" s="5"/>
      <c r="I6" s="5"/>
      <c r="J6" s="5"/>
    </row>
    <row r="7" customFormat="false" ht="22.35" hidden="false" customHeight="false" outlineLevel="0" collapsed="false">
      <c r="A7" s="6"/>
      <c r="B7" s="6" t="s">
        <v>14</v>
      </c>
      <c r="C7" s="6" t="s">
        <v>15</v>
      </c>
      <c r="D7" s="6" t="s">
        <v>16</v>
      </c>
      <c r="E7" s="6" t="s">
        <v>17</v>
      </c>
      <c r="F7" s="6" t="n">
        <v>100</v>
      </c>
      <c r="G7" s="6" t="n">
        <v>400</v>
      </c>
      <c r="H7" s="6" t="s">
        <v>18</v>
      </c>
      <c r="I7" s="7" t="s">
        <v>19</v>
      </c>
      <c r="J7" s="6" t="s">
        <v>20</v>
      </c>
    </row>
    <row r="8" customFormat="false" ht="15" hidden="false" customHeight="false" outlineLevel="0" collapsed="false">
      <c r="A8" s="4" t="s">
        <v>21</v>
      </c>
      <c r="B8" s="5"/>
      <c r="C8" s="5"/>
      <c r="D8" s="5"/>
      <c r="E8" s="5"/>
      <c r="F8" s="5"/>
      <c r="G8" s="5"/>
      <c r="H8" s="5"/>
      <c r="I8" s="5"/>
      <c r="J8" s="5"/>
    </row>
    <row r="9" customFormat="false" ht="32.8" hidden="false" customHeight="false" outlineLevel="0" collapsed="false">
      <c r="A9" s="6"/>
      <c r="B9" s="6" t="s">
        <v>22</v>
      </c>
      <c r="C9" s="6" t="s">
        <v>23</v>
      </c>
      <c r="D9" s="6" t="s">
        <v>24</v>
      </c>
      <c r="E9" s="6" t="s">
        <v>25</v>
      </c>
      <c r="F9" s="6" t="n">
        <v>400</v>
      </c>
      <c r="G9" s="6" t="n">
        <v>1200</v>
      </c>
      <c r="H9" s="6" t="s">
        <v>26</v>
      </c>
      <c r="I9" s="7" t="s">
        <v>19</v>
      </c>
      <c r="J9" s="6" t="s">
        <v>27</v>
      </c>
    </row>
    <row r="10" customFormat="false" ht="15" hidden="false" customHeight="false" outlineLevel="0" collapsed="false">
      <c r="A10" s="4" t="s">
        <v>28</v>
      </c>
      <c r="B10" s="5"/>
      <c r="C10" s="5"/>
      <c r="D10" s="5"/>
      <c r="E10" s="5"/>
      <c r="F10" s="5"/>
      <c r="G10" s="5"/>
      <c r="H10" s="5"/>
      <c r="I10" s="5"/>
      <c r="J10" s="5"/>
    </row>
    <row r="11" customFormat="false" ht="22.35" hidden="false" customHeight="false" outlineLevel="0" collapsed="false">
      <c r="A11" s="6"/>
      <c r="B11" s="6" t="s">
        <v>14</v>
      </c>
      <c r="C11" s="6" t="s">
        <v>29</v>
      </c>
      <c r="D11" s="6" t="s">
        <v>30</v>
      </c>
      <c r="E11" s="6" t="s">
        <v>31</v>
      </c>
      <c r="F11" s="6" t="n">
        <v>300</v>
      </c>
      <c r="G11" s="6" t="n">
        <v>1200</v>
      </c>
      <c r="H11" s="6" t="s">
        <v>18</v>
      </c>
      <c r="I11" s="7" t="s">
        <v>19</v>
      </c>
      <c r="J11" s="6" t="s">
        <v>32</v>
      </c>
    </row>
    <row r="12" customFormat="false" ht="15" hidden="false" customHeight="false" outlineLevel="0" collapsed="false">
      <c r="A12" s="4" t="s">
        <v>33</v>
      </c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false" outlineLevel="0" collapsed="false">
      <c r="A13" s="6"/>
      <c r="B13" s="6" t="s">
        <v>14</v>
      </c>
      <c r="C13" s="6" t="s">
        <v>34</v>
      </c>
      <c r="D13" s="6" t="s">
        <v>35</v>
      </c>
      <c r="E13" s="6" t="s">
        <v>36</v>
      </c>
      <c r="F13" s="6" t="n">
        <v>100</v>
      </c>
      <c r="G13" s="6" t="n">
        <v>300</v>
      </c>
      <c r="H13" s="6" t="s">
        <v>18</v>
      </c>
      <c r="I13" s="7" t="s">
        <v>19</v>
      </c>
      <c r="J13" s="6" t="s">
        <v>37</v>
      </c>
    </row>
    <row r="14" customFormat="false" ht="15" hidden="false" customHeight="false" outlineLevel="0" collapsed="false">
      <c r="A14" s="4" t="s">
        <v>38</v>
      </c>
      <c r="B14" s="5"/>
      <c r="C14" s="5"/>
      <c r="D14" s="5"/>
      <c r="E14" s="5"/>
      <c r="F14" s="5"/>
      <c r="G14" s="5"/>
      <c r="H14" s="5"/>
      <c r="I14" s="5"/>
      <c r="J14" s="5"/>
    </row>
    <row r="15" customFormat="false" ht="22.35" hidden="false" customHeight="false" outlineLevel="0" collapsed="false">
      <c r="A15" s="6"/>
      <c r="B15" s="6" t="s">
        <v>14</v>
      </c>
      <c r="C15" s="6" t="s">
        <v>39</v>
      </c>
      <c r="D15" s="6" t="s">
        <v>40</v>
      </c>
      <c r="E15" s="6" t="s">
        <v>41</v>
      </c>
      <c r="F15" s="6" t="n">
        <v>300</v>
      </c>
      <c r="G15" s="6" t="n">
        <v>1000</v>
      </c>
      <c r="H15" s="6" t="s">
        <v>18</v>
      </c>
      <c r="I15" s="7" t="s">
        <v>19</v>
      </c>
      <c r="J15" s="6" t="s">
        <v>42</v>
      </c>
    </row>
    <row r="17" customFormat="false" ht="15" hidden="false" customHeight="false" outlineLevel="0" collapsed="false">
      <c r="A17" s="8" t="s">
        <v>43</v>
      </c>
      <c r="B17" s="8"/>
      <c r="C17" s="8"/>
      <c r="D17" s="8"/>
      <c r="E17" s="8"/>
      <c r="F17" s="9" t="n">
        <f aca="false">SUMIF(I6:I15,"Y",F6:F15)</f>
        <v>1200</v>
      </c>
      <c r="G17" s="9" t="n">
        <f aca="false">SUMIF(I6:I15,"Y",G6:G15)</f>
        <v>4100</v>
      </c>
    </row>
  </sheetData>
  <mergeCells count="1"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6.15" hidden="false" customHeight="false" outlineLevel="0" collapsed="false">
      <c r="A1" s="10" t="s">
        <v>44</v>
      </c>
    </row>
    <row r="3" customFormat="false" ht="35.05" hidden="false" customHeight="false" outlineLevel="0" collapsed="false">
      <c r="A3" s="11" t="s">
        <v>45</v>
      </c>
    </row>
    <row r="4" customFormat="false" ht="23.85" hidden="false" customHeight="false" outlineLevel="0" collapsed="false">
      <c r="A4" s="11" t="s">
        <v>46</v>
      </c>
    </row>
    <row r="5" customFormat="false" ht="15" hidden="false" customHeight="false" outlineLevel="0" collapsed="false">
      <c r="A5" s="11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2" t="s">
        <v>48</v>
      </c>
      <c r="B1" s="12" t="s">
        <v>49</v>
      </c>
    </row>
    <row r="2" customFormat="false" ht="15" hidden="false" customHeight="false" outlineLevel="0" collapsed="false">
      <c r="A2" s="13" t="s">
        <v>50</v>
      </c>
      <c r="B2" s="14" t="s">
        <v>51</v>
      </c>
    </row>
    <row r="3" customFormat="false" ht="15" hidden="false" customHeight="false" outlineLevel="0" collapsed="false">
      <c r="A3" s="13" t="s">
        <v>52</v>
      </c>
      <c r="B3" s="14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2026-06-30T21:03:35Z</dcterms:created>
  <dc:creator>openpyxl</dc:creator>
  <dc:description/>
  <dc:language>en-US</dc:language>
  <cp:lastModifiedBy/>
  <dcterms:modified xsi:type="dcterms:W3CDTF">2026-06-30T21:03:35Z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