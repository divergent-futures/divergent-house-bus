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or Family (open-source)" sheetId="1" state="visible" r:id="rId3"/>
    <sheet name="V1 BOM (30 ft skoolie)" sheetId="2" state="visible" r:id="rId4"/>
    <sheet name="Sources" sheetId="3" state="visible" r:id="rId5"/>
    <sheet name="V1 BOM (Scavenged Ford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<sst xmlns="http://schemas.openxmlformats.org/spreadsheetml/2006/main" count="144" uniqueCount="130">
  <si>
    <t xml:space="preserve">Bus V1 - Donor Family Comparison (open-source: record them all)</t>
  </si>
  <si>
    <t xml:space="preserve">V1 = off-the-shelf electric conversion. Range target ~120 mi (charger-hopping). Efficiency reverse-engineered from V2 (~1.0-1.2 kWh/mi, light+aero); a boxy bus is worse + heavier. CDL trigger (as an RV, not 16+ pax) = GVWR &gt;= 26,001 lb only. *** V1 PICK = 30 ft skoolie ***</t>
  </si>
  <si>
    <t xml:space="preserve">Spec</t>
  </si>
  <si>
    <t xml:space="preserve">Ford E-450 short</t>
  </si>
  <si>
    <t xml:space="preserve">25 ft skoolie</t>
  </si>
  <si>
    <t xml:space="preserve">30 ft skoolie  *PICK*</t>
  </si>
  <si>
    <t xml:space="preserve">35 ft skoolie</t>
  </si>
  <si>
    <t xml:space="preserve">40 ft skoolie</t>
  </si>
  <si>
    <t xml:space="preserve">Type</t>
  </si>
  <si>
    <t xml:space="preserve">Type A cutaway</t>
  </si>
  <si>
    <t xml:space="preserve">Type C</t>
  </si>
  <si>
    <t xml:space="preserve">Type C/D</t>
  </si>
  <si>
    <t xml:space="preserve">Type D transit</t>
  </si>
  <si>
    <t xml:space="preserve">Length</t>
  </si>
  <si>
    <t xml:space="preserve">~20-22 ft</t>
  </si>
  <si>
    <t xml:space="preserve">~25 ft</t>
  </si>
  <si>
    <t xml:space="preserve">~30 ft</t>
  </si>
  <si>
    <t xml:space="preserve">~35 ft</t>
  </si>
  <si>
    <t xml:space="preserve">~40 ft</t>
  </si>
  <si>
    <t xml:space="preserve">GVWR</t>
  </si>
  <si>
    <t xml:space="preserve">14,500 lb</t>
  </si>
  <si>
    <t xml:space="preserve">~21.5-25.5k lb</t>
  </si>
  <si>
    <t xml:space="preserve">~25-29.5k lb</t>
  </si>
  <si>
    <t xml:space="preserve">~29.5-33k lb</t>
  </si>
  <si>
    <t xml:space="preserve">~33-36k lb</t>
  </si>
  <si>
    <t xml:space="preserve">CDL? (RV)</t>
  </si>
  <si>
    <t xml:space="preserve">NO</t>
  </si>
  <si>
    <t xml:space="preserve">often NO (borderline)</t>
  </si>
  <si>
    <t xml:space="preserve">LIKELY YES</t>
  </si>
  <si>
    <t xml:space="preserve">YES</t>
  </si>
  <si>
    <t xml:space="preserve">Empty weight</t>
  </si>
  <si>
    <t xml:space="preserve">~9-10k lb</t>
  </si>
  <si>
    <t xml:space="preserve">~13-16k lb</t>
  </si>
  <si>
    <t xml:space="preserve">~16-19k lb</t>
  </si>
  <si>
    <t xml:space="preserve">~19-22k lb</t>
  </si>
  <si>
    <t xml:space="preserve">~22-26k lb</t>
  </si>
  <si>
    <t xml:space="preserve">Efficiency (est.)</t>
  </si>
  <si>
    <t xml:space="preserve">~1.3 kWh/mi</t>
  </si>
  <si>
    <t xml:space="preserve">~1.6 kWh/mi</t>
  </si>
  <si>
    <t xml:space="preserve">~1.8 kWh/mi</t>
  </si>
  <si>
    <t xml:space="preserve">~2.1 kWh/mi</t>
  </si>
  <si>
    <t xml:space="preserve">~2.4 kWh/mi</t>
  </si>
  <si>
    <t xml:space="preserve">Battery (~120 mi)</t>
  </si>
  <si>
    <t xml:space="preserve">~150 kWh</t>
  </si>
  <si>
    <t xml:space="preserve">~190 kWh</t>
  </si>
  <si>
    <t xml:space="preserve">~215 kWh</t>
  </si>
  <si>
    <t xml:space="preserve">~250 kWh</t>
  </si>
  <si>
    <t xml:space="preserve">~290 kWh</t>
  </si>
  <si>
    <t xml:space="preserve">Living space</t>
  </si>
  <si>
    <t xml:space="preserve">tight</t>
  </si>
  <si>
    <t xml:space="preserve">compact</t>
  </si>
  <si>
    <t xml:space="preserve">comfortable</t>
  </si>
  <si>
    <t xml:space="preserve">roomy</t>
  </si>
  <si>
    <t xml:space="preserve">very roomy</t>
  </si>
  <si>
    <t xml:space="preserve">All-in est.</t>
  </si>
  <si>
    <t xml:space="preserve">$65-143k</t>
  </si>
  <si>
    <t xml:space="preserve">$72-155k</t>
  </si>
  <si>
    <t xml:space="preserve">$83-174k</t>
  </si>
  <si>
    <t xml:space="preserve">$95-195k</t>
  </si>
  <si>
    <t xml:space="preserve">$108-220k</t>
  </si>
  <si>
    <t xml:space="preserve">DECISION (TJ): V1 = 30 ft skoolie. Accepts CDL + ~215 kWh pack; chosen for living space (no slide-outs in V1). The full family is recorded so any builder can pick their size - the open-source point. (Ford short bus stays the easiest/cheapest non-CDL entry; 35-40 ft for max space.)</t>
  </si>
  <si>
    <t xml:space="preserve">Bus V1 BOM - 30 ft skoolie (the V1 pick)</t>
  </si>
  <si>
    <t xml:space="preserve">Off-the-shelf, salvage where noted. ~215 kWh, ~120 mi, CDL. Indicative - confirm at quote.</t>
  </si>
  <si>
    <t xml:space="preserve">Line item</t>
  </si>
  <si>
    <t xml:space="preserve">Low ($)</t>
  </si>
  <si>
    <t xml:space="preserve">High ($)</t>
  </si>
  <si>
    <t xml:space="preserve">Notes (off-the-shelf)</t>
  </si>
  <si>
    <t xml:space="preserve">Donor bus (used 30 ft Type C)</t>
  </si>
  <si>
    <t xml:space="preserve">used diesel skoolie, running or glider</t>
  </si>
  <si>
    <t xml:space="preserve">EV drivetrain (salvage motor+inverter+adapter)</t>
  </si>
  <si>
    <t xml:space="preserve">Tesla LDU/bus motor repower, ~250-300 kW</t>
  </si>
  <si>
    <t xml:space="preserve">Traction battery (~215 kWh salvage/LFP)</t>
  </si>
  <si>
    <t xml:space="preserve">~$100-180/kWh; salvage Tesla or new LFP</t>
  </si>
  <si>
    <t xml:space="preserve">BMS + contactors + fuses</t>
  </si>
  <si>
    <t xml:space="preserve">Orion-class + Gigavac + class-T</t>
  </si>
  <si>
    <t xml:space="preserve">Onboard charger + DC-DC (CCS/NACS)</t>
  </si>
  <si>
    <t xml:space="preserve">existing-infra charging</t>
  </si>
  <si>
    <t xml:space="preserve">House electrical (48V + inverter + wiring)</t>
  </si>
  <si>
    <t xml:space="preserve">Victron-class; conventional (all-DC = V2)</t>
  </si>
  <si>
    <t xml:space="preserve">Solar + MPPT</t>
  </si>
  <si>
    <t xml:space="preserve">roof panels (more roof on 30 ft)</t>
  </si>
  <si>
    <t xml:space="preserve">Thermal (mini-split + diesel heater + DC fridge)</t>
  </si>
  <si>
    <t xml:space="preserve">off-the-shelf (CO2 core = V2)</t>
  </si>
  <si>
    <t xml:space="preserve">Water (composting toilet+urine sep, tanks, pump/UV)</t>
  </si>
  <si>
    <t xml:space="preserve">no closed-loop/hydroponics (V2)</t>
  </si>
  <si>
    <t xml:space="preserve">Cooking + appliances</t>
  </si>
  <si>
    <t xml:space="preserve">induction + small oven/air-fryer</t>
  </si>
  <si>
    <t xml:space="preserve">Interior build-out (insulation/frame/cabinetry/bed/galley)</t>
  </si>
  <si>
    <t xml:space="preserve">30 ft = larger fit-out</t>
  </si>
  <si>
    <t xml:space="preserve">Misc (lighting, safety, plumbing, fasteners)</t>
  </si>
  <si>
    <t xml:space="preserve">CDL acquisition (license + training)</t>
  </si>
  <si>
    <t xml:space="preserve">30 ft &gt;26k lb -&gt; CDL</t>
  </si>
  <si>
    <t xml:space="preserve">Subtotal</t>
  </si>
  <si>
    <t xml:space="preserve">Contingency (20%)</t>
  </si>
  <si>
    <t xml:space="preserve">TOTAL</t>
  </si>
  <si>
    <t xml:space="preserve">Source</t>
  </si>
  <si>
    <t xml:space="preserve">URL</t>
  </si>
  <si>
    <t xml:space="preserve">CDL line (16+ pax or GVWR&gt;=26,001)</t>
  </si>
  <si>
    <t xml:space="preserve">https://www.fmcsa.dot.gov/registration/commercial-drivers-license/school-or-church-bus-driver-required-obtain-cdl</t>
  </si>
  <si>
    <t xml:space="preserve">School bus types/GVWR/lengths/weights</t>
  </si>
  <si>
    <t xml:space="preserve">https://www.busesforsale.com/knowledge-center/blog/understanding-school-bus-weight-limits-regulations</t>
  </si>
  <si>
    <t xml:space="preserve">Ford E-450 dims/GVWR 14,500</t>
  </si>
  <si>
    <t xml:space="preserve">https://itstillruns.com/ford-e450-specs-7392755.html</t>
  </si>
  <si>
    <t xml:space="preserve">Electric skoolie battery/efficiency</t>
  </si>
  <si>
    <t xml:space="preserve">https://www.skoolielivin.com/electric-school-bus-skoolie-conversion/</t>
  </si>
  <si>
    <t xml:space="preserve">Salvage Tesla battery/motor for buses</t>
  </si>
  <si>
    <t xml:space="preserve">https://www.jalopnik.com/school-buses-are-perfectly-suited-to-be-electrified-che-1837617475/</t>
  </si>
  <si>
    <t xml:space="preserve">Bus V1 BOM - SCAVENGED FORD (whole wrecked Tesla M3 into a Ford E-450 short bus)</t>
  </si>
  <si>
    <t xml:space="preserve">Non-CDL (14,500 lb). 2-pack config shown (~120 mi). M3P pack = 82 kWh/350V/393kW. Single-pack (~60 mi): subtract the 2nd pack.</t>
  </si>
  <si>
    <t xml:space="preserve">A wrecked Tesla donates motor + pack#1 + inverter + onboard charger + DC-DC in one buy. 'Pack a lot of tech in' = drive-unit controller + CAN/BMS integration + parallel-pack mgmt.</t>
  </si>
  <si>
    <t xml:space="preserve">Notes</t>
  </si>
  <si>
    <t xml:space="preserve">Donor Ford E-450 short bus (used)</t>
  </si>
  <si>
    <t xml:space="preserve">~22 ft, 14,500 lb GVWR, NON-CDL</t>
  </si>
  <si>
    <t xml:space="preserve">Wrecked Tesla M3 Performance donor</t>
  </si>
  <si>
    <t xml:space="preserve">gives motor 393kW + pack#1 82kWh + inverter + OBC + DC-DC</t>
  </si>
  <si>
    <t xml:space="preserve">2nd salvage M3/Y pack (parallel)</t>
  </si>
  <si>
    <t xml:space="preserve">+~60 mi; omit for single-pack ~60 mi build</t>
  </si>
  <si>
    <t xml:space="preserve">Drive-unit controller + harness</t>
  </si>
  <si>
    <t xml:space="preserve">EV Controls T-2C / AEM / OpenInverter</t>
  </si>
  <si>
    <t xml:space="preserve">CAN + BMS integration (reuse/emulate, parallel mgmt)</t>
  </si>
  <si>
    <t xml:space="preserve">the 'tech' - reverse-eng CAN, BMS, contactors</t>
  </si>
  <si>
    <t xml:space="preserve">Charging interface (reuse Tesla port / adapter)</t>
  </si>
  <si>
    <t xml:space="preserve">existing CCS/NACS infra</t>
  </si>
  <si>
    <t xml:space="preserve">Victron-class; all-DC = V2</t>
  </si>
  <si>
    <t xml:space="preserve">off-the-shelf roof panels</t>
  </si>
  <si>
    <t xml:space="preserve">off-the-shelf</t>
  </si>
  <si>
    <t xml:space="preserve">reduced feature set</t>
  </si>
  <si>
    <t xml:space="preserve">Interior build-out (short bus)</t>
  </si>
  <si>
    <t xml:space="preserve">~22 ft fit-out</t>
  </si>
  <si>
    <t xml:space="preserve">TOTAL (2-pack, ~120 mi)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</si>
</sst>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563C1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7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6" t="s">
        <v>5</v>
      </c>
      <c r="E4" s="5" t="s">
        <v>6</v>
      </c>
      <c r="F4" s="5" t="s">
        <v>7</v>
      </c>
    </row>
    <row r="5" customFormat="false" ht="15" hidden="false" customHeight="true" outlineLevel="0" collapsed="false">
      <c r="A5" s="7" t="s">
        <v>8</v>
      </c>
      <c r="B5" s="8" t="s">
        <v>9</v>
      </c>
      <c r="C5" s="8" t="s">
        <v>10</v>
      </c>
      <c r="D5" s="9" t="s">
        <v>10</v>
      </c>
      <c r="E5" s="8" t="s">
        <v>11</v>
      </c>
      <c r="F5" s="8" t="s">
        <v>12</v>
      </c>
    </row>
    <row r="6" customFormat="false" ht="15" hidden="false" customHeight="true" outlineLevel="0" collapsed="false">
      <c r="A6" s="7" t="s">
        <v>13</v>
      </c>
      <c r="B6" s="8" t="s">
        <v>14</v>
      </c>
      <c r="C6" s="8" t="s">
        <v>15</v>
      </c>
      <c r="D6" s="9" t="s">
        <v>16</v>
      </c>
      <c r="E6" s="8" t="s">
        <v>17</v>
      </c>
      <c r="F6" s="8" t="s">
        <v>18</v>
      </c>
    </row>
    <row r="7" customFormat="false" ht="15" hidden="false" customHeight="true" outlineLevel="0" collapsed="false">
      <c r="A7" s="7" t="s">
        <v>19</v>
      </c>
      <c r="B7" s="8" t="s">
        <v>20</v>
      </c>
      <c r="C7" s="8" t="s">
        <v>21</v>
      </c>
      <c r="D7" s="9" t="s">
        <v>22</v>
      </c>
      <c r="E7" s="8" t="s">
        <v>23</v>
      </c>
      <c r="F7" s="8" t="s">
        <v>24</v>
      </c>
    </row>
    <row r="8" customFormat="false" ht="15" hidden="false" customHeight="true" outlineLevel="0" collapsed="false">
      <c r="A8" s="7" t="s">
        <v>25</v>
      </c>
      <c r="B8" s="8" t="s">
        <v>26</v>
      </c>
      <c r="C8" s="8" t="s">
        <v>27</v>
      </c>
      <c r="D8" s="9" t="s">
        <v>28</v>
      </c>
      <c r="E8" s="8" t="s">
        <v>29</v>
      </c>
      <c r="F8" s="8" t="s">
        <v>29</v>
      </c>
    </row>
    <row r="9" customFormat="false" ht="15" hidden="false" customHeight="true" outlineLevel="0" collapsed="false">
      <c r="A9" s="7" t="s">
        <v>30</v>
      </c>
      <c r="B9" s="8" t="s">
        <v>31</v>
      </c>
      <c r="C9" s="8" t="s">
        <v>32</v>
      </c>
      <c r="D9" s="9" t="s">
        <v>33</v>
      </c>
      <c r="E9" s="8" t="s">
        <v>34</v>
      </c>
      <c r="F9" s="8" t="s">
        <v>35</v>
      </c>
    </row>
    <row r="10" customFormat="false" ht="15" hidden="false" customHeight="true" outlineLevel="0" collapsed="false">
      <c r="A10" s="7" t="s">
        <v>36</v>
      </c>
      <c r="B10" s="8" t="s">
        <v>37</v>
      </c>
      <c r="C10" s="8" t="s">
        <v>38</v>
      </c>
      <c r="D10" s="9" t="s">
        <v>39</v>
      </c>
      <c r="E10" s="8" t="s">
        <v>40</v>
      </c>
      <c r="F10" s="8" t="s">
        <v>41</v>
      </c>
    </row>
    <row r="11" customFormat="false" ht="15" hidden="false" customHeight="true" outlineLevel="0" collapsed="false">
      <c r="A11" s="7" t="s">
        <v>42</v>
      </c>
      <c r="B11" s="8" t="s">
        <v>43</v>
      </c>
      <c r="C11" s="8" t="s">
        <v>44</v>
      </c>
      <c r="D11" s="9" t="s">
        <v>45</v>
      </c>
      <c r="E11" s="8" t="s">
        <v>46</v>
      </c>
      <c r="F11" s="8" t="s">
        <v>47</v>
      </c>
    </row>
    <row r="12" customFormat="false" ht="15" hidden="false" customHeight="true" outlineLevel="0" collapsed="false">
      <c r="A12" s="7" t="s">
        <v>48</v>
      </c>
      <c r="B12" s="8" t="s">
        <v>49</v>
      </c>
      <c r="C12" s="8" t="s">
        <v>50</v>
      </c>
      <c r="D12" s="9" t="s">
        <v>51</v>
      </c>
      <c r="E12" s="8" t="s">
        <v>52</v>
      </c>
      <c r="F12" s="8" t="s">
        <v>53</v>
      </c>
    </row>
    <row r="13" customFormat="false" ht="15" hidden="false" customHeight="true" outlineLevel="0" collapsed="false">
      <c r="A13" s="7" t="s">
        <v>54</v>
      </c>
      <c r="B13" s="8" t="s">
        <v>55</v>
      </c>
      <c r="C13" s="8" t="s">
        <v>56</v>
      </c>
      <c r="D13" s="9" t="s">
        <v>57</v>
      </c>
      <c r="E13" s="8" t="s">
        <v>58</v>
      </c>
      <c r="F13" s="8" t="s">
        <v>59</v>
      </c>
    </row>
    <row r="15" customFormat="false" ht="34.5" hidden="false" customHeight="true" outlineLevel="0" collapsed="false">
      <c r="A15" s="10" t="s">
        <v>60</v>
      </c>
      <c r="B15" s="10"/>
      <c r="C15" s="10"/>
      <c r="D15" s="10"/>
      <c r="E15" s="10"/>
      <c r="F15" s="10"/>
    </row>
  </sheetData>
  <mergeCells count="1"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2"/>
    <col collapsed="false" customWidth="true" hidden="false" outlineLevel="0" max="4" min="4" style="1" width="46"/>
  </cols>
  <sheetData>
    <row r="1" customFormat="false" ht="17.25" hidden="false" customHeight="true" outlineLevel="0" collapsed="false">
      <c r="A1" s="2" t="s">
        <v>61</v>
      </c>
    </row>
    <row r="2" customFormat="false" ht="15" hidden="false" customHeight="true" outlineLevel="0" collapsed="false">
      <c r="A2" s="3" t="s">
        <v>62</v>
      </c>
    </row>
    <row r="4" customFormat="false" ht="15" hidden="false" customHeight="true" outlineLevel="0" collapsed="false">
      <c r="A4" s="11" t="s">
        <v>63</v>
      </c>
      <c r="B4" s="11" t="s">
        <v>64</v>
      </c>
      <c r="C4" s="11" t="s">
        <v>65</v>
      </c>
      <c r="D4" s="11" t="s">
        <v>66</v>
      </c>
    </row>
    <row r="5" customFormat="false" ht="15" hidden="false" customHeight="true" outlineLevel="0" collapsed="false">
      <c r="A5" s="8" t="s">
        <v>67</v>
      </c>
      <c r="B5" s="8" t="n">
        <v>6000</v>
      </c>
      <c r="C5" s="8" t="n">
        <v>16000</v>
      </c>
      <c r="D5" s="8" t="s">
        <v>68</v>
      </c>
    </row>
    <row r="6" customFormat="false" ht="21.75" hidden="false" customHeight="true" outlineLevel="0" collapsed="false">
      <c r="A6" s="8" t="s">
        <v>69</v>
      </c>
      <c r="B6" s="8" t="n">
        <v>7000</v>
      </c>
      <c r="C6" s="8" t="n">
        <v>14000</v>
      </c>
      <c r="D6" s="8" t="s">
        <v>70</v>
      </c>
    </row>
    <row r="7" customFormat="false" ht="21.75" hidden="false" customHeight="true" outlineLevel="0" collapsed="false">
      <c r="A7" s="8" t="s">
        <v>71</v>
      </c>
      <c r="B7" s="8" t="n">
        <v>22000</v>
      </c>
      <c r="C7" s="8" t="n">
        <v>39000</v>
      </c>
      <c r="D7" s="8" t="s">
        <v>72</v>
      </c>
    </row>
    <row r="8" customFormat="false" ht="15" hidden="false" customHeight="true" outlineLevel="0" collapsed="false">
      <c r="A8" s="8" t="s">
        <v>73</v>
      </c>
      <c r="B8" s="8" t="n">
        <v>2000</v>
      </c>
      <c r="C8" s="8" t="n">
        <v>4000</v>
      </c>
      <c r="D8" s="8" t="s">
        <v>74</v>
      </c>
    </row>
    <row r="9" customFormat="false" ht="21.75" hidden="false" customHeight="true" outlineLevel="0" collapsed="false">
      <c r="A9" s="8" t="s">
        <v>75</v>
      </c>
      <c r="B9" s="8" t="n">
        <v>2500</v>
      </c>
      <c r="C9" s="8" t="n">
        <v>6000</v>
      </c>
      <c r="D9" s="8" t="s">
        <v>76</v>
      </c>
    </row>
    <row r="10" customFormat="false" ht="21.75" hidden="false" customHeight="true" outlineLevel="0" collapsed="false">
      <c r="A10" s="8" t="s">
        <v>77</v>
      </c>
      <c r="B10" s="8" t="n">
        <v>4000</v>
      </c>
      <c r="C10" s="8" t="n">
        <v>9000</v>
      </c>
      <c r="D10" s="8" t="s">
        <v>78</v>
      </c>
    </row>
    <row r="11" customFormat="false" ht="15" hidden="false" customHeight="true" outlineLevel="0" collapsed="false">
      <c r="A11" s="8" t="s">
        <v>79</v>
      </c>
      <c r="B11" s="8" t="n">
        <v>2500</v>
      </c>
      <c r="C11" s="8" t="n">
        <v>6000</v>
      </c>
      <c r="D11" s="8" t="s">
        <v>80</v>
      </c>
    </row>
    <row r="12" customFormat="false" ht="21.75" hidden="false" customHeight="true" outlineLevel="0" collapsed="false">
      <c r="A12" s="8" t="s">
        <v>81</v>
      </c>
      <c r="B12" s="8" t="n">
        <v>3000</v>
      </c>
      <c r="C12" s="8" t="n">
        <v>7000</v>
      </c>
      <c r="D12" s="8" t="s">
        <v>82</v>
      </c>
    </row>
    <row r="13" customFormat="false" ht="21.75" hidden="false" customHeight="true" outlineLevel="0" collapsed="false">
      <c r="A13" s="8" t="s">
        <v>83</v>
      </c>
      <c r="B13" s="8" t="n">
        <v>1500</v>
      </c>
      <c r="C13" s="8" t="n">
        <v>3500</v>
      </c>
      <c r="D13" s="8" t="s">
        <v>84</v>
      </c>
    </row>
    <row r="14" customFormat="false" ht="15" hidden="false" customHeight="true" outlineLevel="0" collapsed="false">
      <c r="A14" s="8" t="s">
        <v>85</v>
      </c>
      <c r="B14" s="8" t="n">
        <v>1000</v>
      </c>
      <c r="C14" s="8" t="n">
        <v>2500</v>
      </c>
      <c r="D14" s="8" t="s">
        <v>86</v>
      </c>
    </row>
    <row r="15" customFormat="false" ht="21.75" hidden="false" customHeight="true" outlineLevel="0" collapsed="false">
      <c r="A15" s="8" t="s">
        <v>87</v>
      </c>
      <c r="B15" s="8" t="n">
        <v>14000</v>
      </c>
      <c r="C15" s="8" t="n">
        <v>30000</v>
      </c>
      <c r="D15" s="8" t="s">
        <v>88</v>
      </c>
    </row>
    <row r="16" customFormat="false" ht="21.75" hidden="false" customHeight="true" outlineLevel="0" collapsed="false">
      <c r="A16" s="8" t="s">
        <v>89</v>
      </c>
      <c r="B16" s="8" t="n">
        <v>2000</v>
      </c>
      <c r="C16" s="8" t="n">
        <v>5000</v>
      </c>
      <c r="D16" s="8"/>
    </row>
    <row r="17" customFormat="false" ht="15" hidden="false" customHeight="true" outlineLevel="0" collapsed="false">
      <c r="A17" s="8" t="s">
        <v>90</v>
      </c>
      <c r="B17" s="8" t="n">
        <v>500</v>
      </c>
      <c r="C17" s="8" t="n">
        <v>3000</v>
      </c>
      <c r="D17" s="8" t="s">
        <v>91</v>
      </c>
    </row>
    <row r="18" customFormat="false" ht="15" hidden="false" customHeight="true" outlineLevel="0" collapsed="false">
      <c r="A18" s="12" t="s">
        <v>92</v>
      </c>
      <c r="B18" s="12" t="n">
        <f aca="false">SUM(B5:B17)</f>
        <v>68000</v>
      </c>
      <c r="C18" s="12" t="n">
        <f aca="false">SUM(C5:C17)</f>
        <v>145000</v>
      </c>
    </row>
    <row r="19" customFormat="false" ht="15" hidden="false" customHeight="true" outlineLevel="0" collapsed="false">
      <c r="A19" s="13" t="s">
        <v>93</v>
      </c>
      <c r="B19" s="13" t="n">
        <f aca="false">B18*0.2</f>
        <v>13600</v>
      </c>
      <c r="C19" s="13" t="n">
        <f aca="false">C18*0.2</f>
        <v>29000</v>
      </c>
    </row>
    <row r="20" customFormat="false" ht="15" hidden="false" customHeight="true" outlineLevel="0" collapsed="false">
      <c r="A20" s="14" t="s">
        <v>94</v>
      </c>
      <c r="B20" s="15" t="n">
        <f aca="false">B18+B19</f>
        <v>81600</v>
      </c>
      <c r="C20" s="15" t="n">
        <f aca="false">C18+C19</f>
        <v>174000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80"/>
  </cols>
  <sheetData>
    <row r="1" customFormat="false" ht="15" hidden="false" customHeight="true" outlineLevel="0" collapsed="false">
      <c r="A1" s="14" t="s">
        <v>95</v>
      </c>
      <c r="B1" s="14" t="s">
        <v>96</v>
      </c>
    </row>
    <row r="2" customFormat="false" ht="15" hidden="false" customHeight="true" outlineLevel="0" collapsed="false">
      <c r="A2" s="16" t="s">
        <v>97</v>
      </c>
      <c r="B2" s="17" t="s">
        <v>98</v>
      </c>
    </row>
    <row r="3" customFormat="false" ht="15" hidden="false" customHeight="true" outlineLevel="0" collapsed="false">
      <c r="A3" s="16" t="s">
        <v>99</v>
      </c>
      <c r="B3" s="17" t="s">
        <v>100</v>
      </c>
    </row>
    <row r="4" customFormat="false" ht="15" hidden="false" customHeight="true" outlineLevel="0" collapsed="false">
      <c r="A4" s="16" t="s">
        <v>101</v>
      </c>
      <c r="B4" s="17" t="s">
        <v>102</v>
      </c>
    </row>
    <row r="5" customFormat="false" ht="15" hidden="false" customHeight="true" outlineLevel="0" collapsed="false">
      <c r="A5" s="16" t="s">
        <v>103</v>
      </c>
      <c r="B5" s="17" t="s">
        <v>104</v>
      </c>
    </row>
    <row r="6" customFormat="false" ht="15" hidden="false" customHeight="true" outlineLevel="0" collapsed="false">
      <c r="A6" s="16" t="s">
        <v>105</v>
      </c>
      <c r="B6" s="17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46"/>
  </cols>
  <sheetData>
    <row r="1" customFormat="false" ht="16.15" hidden="false" customHeight="false" outlineLevel="0" collapsed="false">
      <c r="A1" s="18" t="s">
        <v>107</v>
      </c>
    </row>
    <row r="2" customFormat="false" ht="15" hidden="false" customHeight="false" outlineLevel="0" collapsed="false">
      <c r="A2" s="19" t="s">
        <v>108</v>
      </c>
    </row>
    <row r="3" customFormat="false" ht="15" hidden="false" customHeight="false" outlineLevel="0" collapsed="false">
      <c r="A3" s="19" t="s">
        <v>109</v>
      </c>
    </row>
    <row r="5" customFormat="false" ht="15" hidden="false" customHeight="false" outlineLevel="0" collapsed="false">
      <c r="A5" s="11" t="s">
        <v>63</v>
      </c>
      <c r="B5" s="11" t="s">
        <v>64</v>
      </c>
      <c r="C5" s="11" t="s">
        <v>65</v>
      </c>
      <c r="D5" s="11" t="s">
        <v>110</v>
      </c>
    </row>
    <row r="6" customFormat="false" ht="15" hidden="false" customHeight="false" outlineLevel="0" collapsed="false">
      <c r="A6" s="8" t="s">
        <v>111</v>
      </c>
      <c r="B6" s="8" t="n">
        <v>8000</v>
      </c>
      <c r="C6" s="8" t="n">
        <v>22000</v>
      </c>
      <c r="D6" s="8" t="s">
        <v>112</v>
      </c>
    </row>
    <row r="7" customFormat="false" ht="22.35" hidden="false" customHeight="false" outlineLevel="0" collapsed="false">
      <c r="A7" s="8" t="s">
        <v>113</v>
      </c>
      <c r="B7" s="8" t="n">
        <v>10000</v>
      </c>
      <c r="C7" s="8" t="n">
        <v>20000</v>
      </c>
      <c r="D7" s="8" t="s">
        <v>114</v>
      </c>
    </row>
    <row r="8" customFormat="false" ht="15" hidden="false" customHeight="false" outlineLevel="0" collapsed="false">
      <c r="A8" s="8" t="s">
        <v>115</v>
      </c>
      <c r="B8" s="8" t="n">
        <v>7000</v>
      </c>
      <c r="C8" s="8" t="n">
        <v>15000</v>
      </c>
      <c r="D8" s="8" t="s">
        <v>116</v>
      </c>
    </row>
    <row r="9" customFormat="false" ht="15" hidden="false" customHeight="false" outlineLevel="0" collapsed="false">
      <c r="A9" s="8" t="s">
        <v>117</v>
      </c>
      <c r="B9" s="8" t="n">
        <v>1500</v>
      </c>
      <c r="C9" s="8" t="n">
        <v>3500</v>
      </c>
      <c r="D9" s="8" t="s">
        <v>118</v>
      </c>
    </row>
    <row r="10" customFormat="false" ht="22.35" hidden="false" customHeight="false" outlineLevel="0" collapsed="false">
      <c r="A10" s="8" t="s">
        <v>119</v>
      </c>
      <c r="B10" s="8" t="n">
        <v>1000</v>
      </c>
      <c r="C10" s="8" t="n">
        <v>3000</v>
      </c>
      <c r="D10" s="8" t="s">
        <v>120</v>
      </c>
    </row>
    <row r="11" customFormat="false" ht="22.35" hidden="false" customHeight="false" outlineLevel="0" collapsed="false">
      <c r="A11" s="8" t="s">
        <v>121</v>
      </c>
      <c r="B11" s="8" t="n">
        <v>500</v>
      </c>
      <c r="C11" s="8" t="n">
        <v>2000</v>
      </c>
      <c r="D11" s="8" t="s">
        <v>122</v>
      </c>
    </row>
    <row r="12" customFormat="false" ht="22.35" hidden="false" customHeight="false" outlineLevel="0" collapsed="false">
      <c r="A12" s="8" t="s">
        <v>77</v>
      </c>
      <c r="B12" s="8" t="n">
        <v>4000</v>
      </c>
      <c r="C12" s="8" t="n">
        <v>9000</v>
      </c>
      <c r="D12" s="8" t="s">
        <v>123</v>
      </c>
    </row>
    <row r="13" customFormat="false" ht="15" hidden="false" customHeight="false" outlineLevel="0" collapsed="false">
      <c r="A13" s="8" t="s">
        <v>79</v>
      </c>
      <c r="B13" s="8" t="n">
        <v>2000</v>
      </c>
      <c r="C13" s="8" t="n">
        <v>5000</v>
      </c>
      <c r="D13" s="8" t="s">
        <v>124</v>
      </c>
    </row>
    <row r="14" customFormat="false" ht="22.35" hidden="false" customHeight="false" outlineLevel="0" collapsed="false">
      <c r="A14" s="8" t="s">
        <v>81</v>
      </c>
      <c r="B14" s="8" t="n">
        <v>3000</v>
      </c>
      <c r="C14" s="8" t="n">
        <v>7000</v>
      </c>
      <c r="D14" s="8" t="s">
        <v>125</v>
      </c>
    </row>
    <row r="15" customFormat="false" ht="22.35" hidden="false" customHeight="false" outlineLevel="0" collapsed="false">
      <c r="A15" s="8" t="s">
        <v>83</v>
      </c>
      <c r="B15" s="8" t="n">
        <v>1500</v>
      </c>
      <c r="C15" s="8" t="n">
        <v>3500</v>
      </c>
      <c r="D15" s="8" t="s">
        <v>126</v>
      </c>
    </row>
    <row r="16" customFormat="false" ht="15" hidden="false" customHeight="false" outlineLevel="0" collapsed="false">
      <c r="A16" s="8" t="s">
        <v>85</v>
      </c>
      <c r="B16" s="8" t="n">
        <v>1000</v>
      </c>
      <c r="C16" s="8" t="n">
        <v>2500</v>
      </c>
      <c r="D16" s="8" t="s">
        <v>86</v>
      </c>
    </row>
    <row r="17" customFormat="false" ht="15" hidden="false" customHeight="false" outlineLevel="0" collapsed="false">
      <c r="A17" s="8" t="s">
        <v>127</v>
      </c>
      <c r="B17" s="8" t="n">
        <v>8000</v>
      </c>
      <c r="C17" s="8" t="n">
        <v>18000</v>
      </c>
      <c r="D17" s="8" t="s">
        <v>128</v>
      </c>
    </row>
    <row r="18" customFormat="false" ht="22.35" hidden="false" customHeight="false" outlineLevel="0" collapsed="false">
      <c r="A18" s="8" t="s">
        <v>89</v>
      </c>
      <c r="B18" s="8" t="n">
        <v>2000</v>
      </c>
      <c r="C18" s="8" t="n">
        <v>5000</v>
      </c>
      <c r="D18" s="8"/>
    </row>
    <row r="19" customFormat="false" ht="15" hidden="false" customHeight="false" outlineLevel="0" collapsed="false">
      <c r="A19" s="20" t="s">
        <v>92</v>
      </c>
      <c r="B19" s="20" t="n">
        <f aca="false">SUM(B6:B18)</f>
        <v>49500</v>
      </c>
      <c r="C19" s="20" t="n">
        <f aca="false">SUM(C6:C18)</f>
        <v>115500</v>
      </c>
    </row>
    <row r="20" customFormat="false" ht="15" hidden="false" customHeight="false" outlineLevel="0" collapsed="false">
      <c r="A20" s="21" t="s">
        <v>93</v>
      </c>
      <c r="B20" s="21" t="n">
        <f aca="false">B19*0.2</f>
        <v>9900</v>
      </c>
      <c r="C20" s="21" t="n">
        <f aca="false">C19*0.2</f>
        <v>23100</v>
      </c>
    </row>
    <row r="21" customFormat="false" ht="15" hidden="false" customHeight="false" outlineLevel="0" collapsed="false">
      <c r="A21" s="22" t="s">
        <v>129</v>
      </c>
      <c r="B21" s="23" t="n">
        <f aca="false">B19+B20</f>
        <v>59400</v>
      </c>
      <c r="C21" s="23" t="n">
        <f aca="false">C19+C20</f>
        <v>138600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2026-06-30T18:06:29Z</dcterms:created>
  <dc:creator>openpyxl</dc:creator>
  <dc:description/>
  <dc:language>en-US</dc:language>
  <cp:lastModifiedBy/>
  <dcterms:modified xsi:type="dcterms:W3CDTF">2026-06-30T18:47:07Z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