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OM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<sst xmlns="http://schemas.openxmlformats.org/spreadsheetml/2006/main" count="129" uniqueCount="84">
  <si>
    <t xml:space="preserve">House BUS - BOM Cost Summary (approximate, USD)</t>
  </si>
  <si>
    <t xml:space="preserve">Group</t>
  </si>
  <si>
    <t xml:space="preserve">Low ($)</t>
  </si>
  <si>
    <t xml:space="preserve">High ($)</t>
  </si>
  <si>
    <t xml:space="preserve">Note</t>
  </si>
  <si>
    <t xml:space="preserve">Vehicle base</t>
  </si>
  <si>
    <t xml:space="preserve">Structure &amp; body</t>
  </si>
  <si>
    <t xml:space="preserve">Running gear</t>
  </si>
  <si>
    <t xml:space="preserve">Energy &amp; electrical</t>
  </si>
  <si>
    <t xml:space="preserve">Thermal</t>
  </si>
  <si>
    <t xml:space="preserve">Water &amp; sanitation</t>
  </si>
  <si>
    <t xml:space="preserve">Habitability</t>
  </si>
  <si>
    <t xml:space="preserve">Controls &amp; safety</t>
  </si>
  <si>
    <t xml:space="preserve">Misc</t>
  </si>
  <si>
    <t xml:space="preserve">Subtotal</t>
  </si>
  <si>
    <t xml:space="preserve">Contingency (25%)</t>
  </si>
  <si>
    <t xml:space="preserve">BUILD TOTAL</t>
  </si>
  <si>
    <t xml:space="preserve">v0.1 order-of-magnitude. Wide bands = lean V1 conversion (low) vs full ground-up with all features (high). Overlaps the roadmap's $90-160k V1 class at the low end; the high end includes sauna, RO, deployable solar, premium finishes, composite ground-up.</t>
  </si>
  <si>
    <t xml:space="preserve">Battery = 300 kWh x sodium $/kWh (Energy group). Cross-check component list against the mass budget (same groups).</t>
  </si>
  <si>
    <t xml:space="preserve">House BUS - Bill of Materials (v0.1, approximate)</t>
  </si>
  <si>
    <t xml:space="preserve">Component</t>
  </si>
  <si>
    <t xml:space="preserve">Qty</t>
  </si>
  <si>
    <t xml:space="preserve">Unit low ($)</t>
  </si>
  <si>
    <t xml:space="preserve">Unit high ($)</t>
  </si>
  <si>
    <t xml:space="preserve">Ext low ($)</t>
  </si>
  <si>
    <t xml:space="preserve">Ext high ($)</t>
  </si>
  <si>
    <t xml:space="preserve">Notes / sourcing</t>
  </si>
  <si>
    <t xml:space="preserve">Donor bus (used 25-27ft) OR cab-chassis glider</t>
  </si>
  <si>
    <t xml:space="preserve">Conversion (V1) vs ground-up</t>
  </si>
  <si>
    <t xml:space="preserve">Composite body panels (carbon/glass over foam)</t>
  </si>
  <si>
    <t xml:space="preserve">EPP foam interior structure + CF skins</t>
  </si>
  <si>
    <t xml:space="preserve">High-R insulation (vacuum panel / aerogel)</t>
  </si>
  <si>
    <t xml:space="preserve">Premium insulation is pricey</t>
  </si>
  <si>
    <t xml:space="preserve">Polycarbonate glazing + insulated covers</t>
  </si>
  <si>
    <t xml:space="preserve">Structural pack enclosure / fab</t>
  </si>
  <si>
    <t xml:space="preserve">3D-print composite vs cast Al</t>
  </si>
  <si>
    <t xml:space="preserve">Slide-out mechanisms</t>
  </si>
  <si>
    <t xml:space="preserve">per slide-out</t>
  </si>
  <si>
    <t xml:space="preserve">E-axle + motor + inverter</t>
  </si>
  <si>
    <t xml:space="preserve">~200-250 kW EV bus drivetrain</t>
  </si>
  <si>
    <t xml:space="preserve">Adjustable air suspension</t>
  </si>
  <si>
    <t xml:space="preserve">Wheels, tires, brakes, steering</t>
  </si>
  <si>
    <t xml:space="preserve">Sodium-ion cells/modules (per kWh)</t>
  </si>
  <si>
    <t xml:space="preserve">CATL Naxtra-class; sodium cost advantage</t>
  </si>
  <si>
    <t xml:space="preserve">BMS (HV, cell-level)</t>
  </si>
  <si>
    <t xml:space="preserve">DC-DC 800-&gt;48 V (stackable)</t>
  </si>
  <si>
    <t xml:space="preserve">Inverter/charger (Victron-class)</t>
  </si>
  <si>
    <t xml:space="preserve">Solar MPPT controllers</t>
  </si>
  <si>
    <t xml:space="preserve">Solar array (roof + deployable)</t>
  </si>
  <si>
    <t xml:space="preserve">TE 48V connectors + harness + cable</t>
  </si>
  <si>
    <t xml:space="preserve">PDM / fusing / contactors / busbars</t>
  </si>
  <si>
    <t xml:space="preserve">Charge inlets (MCS + NACS hardware)</t>
  </si>
  <si>
    <t xml:space="preserve">Two standards</t>
  </si>
  <si>
    <t xml:space="preserve">Heat-pump/AC core + dual compressors (EV-grade)</t>
  </si>
  <si>
    <t xml:space="preserve">Multi-port manifold (custom) + valves</t>
  </si>
  <si>
    <t xml:space="preserve">beyond-Octovalve</t>
  </si>
  <si>
    <t xml:space="preserve">Coolant pumps, exchangers, lines, glycol, buffers</t>
  </si>
  <si>
    <t xml:space="preserve">Diesel CHP genset 3.5 kW + heat recovery</t>
  </si>
  <si>
    <t xml:space="preserve">Hot-water tank + drying coil + dehumidifier</t>
  </si>
  <si>
    <t xml:space="preserve">SS drinking tank + external inlet + pump</t>
  </si>
  <si>
    <t xml:space="preserve">Reticulating shower loop + filters + UV</t>
  </si>
  <si>
    <t xml:space="preserve">Composting toilet + urine diverter</t>
  </si>
  <si>
    <t xml:space="preserve">Greywater + plumbing + pumps</t>
  </si>
  <si>
    <t xml:space="preserve">RO/electrodialysis (urine salt-strip)</t>
  </si>
  <si>
    <t xml:space="preserve">future/optional</t>
  </si>
  <si>
    <t xml:space="preserve">Rainwater catchment (optional)</t>
  </si>
  <si>
    <t xml:space="preserve">Fridge/freezer (cold-store + boxes)</t>
  </si>
  <si>
    <t xml:space="preserve">on the thermal loop</t>
  </si>
  <si>
    <t xml:space="preserve">Induction + microwave</t>
  </si>
  <si>
    <t xml:space="preserve">Heat-pump washer/dryer</t>
  </si>
  <si>
    <t xml:space="preserve">Climate bed + mattress</t>
  </si>
  <si>
    <t xml:space="preserve">Hydroponics (RDWC/NFT + LED + dosers)</t>
  </si>
  <si>
    <t xml:space="preserve">Galley / cabinetry / finishes / upholstery</t>
  </si>
  <si>
    <t xml:space="preserve">DIY vs pro finish</t>
  </si>
  <si>
    <t xml:space="preserve">Sauna (compact electric)</t>
  </si>
  <si>
    <t xml:space="preserve">Linux host + tablet + edge nodes</t>
  </si>
  <si>
    <t xml:space="preserve">Ethernet switches/PHYs + CAN gateways + network</t>
  </si>
  <si>
    <t xml:space="preserve">Sensors (4-zone air arrays + thermal/water)</t>
  </si>
  <si>
    <t xml:space="preserve">CO/CO2/O2/humidity/particulate x4 zones</t>
  </si>
  <si>
    <t xml:space="preserve">Fire suppression + extinguishers + detection</t>
  </si>
  <si>
    <t xml:space="preserve">Comms (Starlink + cellular hardware)</t>
  </si>
  <si>
    <t xml:space="preserve">Fasteners, mounts, tools, consumables</t>
  </si>
  <si>
    <t xml:space="preserve">SUBTOTAL</t>
  </si>
  <si>
    <t xml:space="preserve">BUILD TOTAL (with contingency)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</si>
</sst>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6F5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6F54"/>
        <bgColor rgb="FF008080"/>
      </patternFill>
    </fill>
    <fill>
      <patternFill patternType="solid">
        <fgColor rgb="FFD9E8E1"/>
        <bgColor rgb="FFEAF3EF"/>
      </patternFill>
    </fill>
    <fill>
      <patternFill patternType="solid">
        <fgColor rgb="FFEAF3EF"/>
        <bgColor rgb="FFD9E8E1"/>
      </patternFill>
    </fill>
    <fill>
      <patternFill patternType="solid">
        <fgColor rgb="FFFFF7D6"/>
        <bgColor rgb="FFEAF3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54"/>
      <rgbColor rgb="FFCCCCCC"/>
      <rgbColor rgb="FF808080"/>
      <rgbColor rgb="FF9999FF"/>
      <rgbColor rgb="FF993366"/>
      <rgbColor rgb="FFFFF7D6"/>
      <rgbColor rgb="FFEAF3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8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4" min="4" style="0" width="30"/>
  </cols>
  <sheetData>
    <row r="1" customFormat="false" ht="18.5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4" t="n">
        <f aca="false">SUMIF(BOM!$A:$A,A4,BOM!$F:$F)</f>
        <v>6000</v>
      </c>
      <c r="C4" s="4" t="n">
        <f aca="false">SUMIF(BOM!$A:$A,A4,BOM!$G:$G)</f>
        <v>25000</v>
      </c>
      <c r="D4" s="5"/>
    </row>
    <row r="5" customFormat="false" ht="15" hidden="false" customHeight="false" outlineLevel="0" collapsed="false">
      <c r="A5" s="3" t="s">
        <v>6</v>
      </c>
      <c r="B5" s="4" t="n">
        <f aca="false">SUMIF(BOM!$A:$A,A5,BOM!$F:$F)</f>
        <v>16500</v>
      </c>
      <c r="C5" s="4" t="n">
        <f aca="false">SUMIF(BOM!$A:$A,A5,BOM!$G:$G)</f>
        <v>47000</v>
      </c>
      <c r="D5" s="5"/>
    </row>
    <row r="6" customFormat="false" ht="15" hidden="false" customHeight="false" outlineLevel="0" collapsed="false">
      <c r="A6" s="3" t="s">
        <v>7</v>
      </c>
      <c r="B6" s="4" t="n">
        <f aca="false">SUMIF(BOM!$A:$A,A6,BOM!$F:$F)</f>
        <v>23000</v>
      </c>
      <c r="C6" s="4" t="n">
        <f aca="false">SUMIF(BOM!$A:$A,A6,BOM!$G:$G)</f>
        <v>47000</v>
      </c>
      <c r="D6" s="5"/>
    </row>
    <row r="7" customFormat="false" ht="15" hidden="false" customHeight="false" outlineLevel="0" collapsed="false">
      <c r="A7" s="3" t="s">
        <v>8</v>
      </c>
      <c r="B7" s="4" t="n">
        <f aca="false">SUMIF(BOM!$A:$A,A7,BOM!$F:$F)</f>
        <v>34300</v>
      </c>
      <c r="C7" s="4" t="n">
        <f aca="false">SUMIF(BOM!$A:$A,A7,BOM!$G:$G)</f>
        <v>65500</v>
      </c>
      <c r="D7" s="5"/>
    </row>
    <row r="8" customFormat="false" ht="15" hidden="false" customHeight="false" outlineLevel="0" collapsed="false">
      <c r="A8" s="3" t="s">
        <v>9</v>
      </c>
      <c r="B8" s="4" t="n">
        <f aca="false">SUMIF(BOM!$A:$A,A8,BOM!$F:$F)</f>
        <v>10000</v>
      </c>
      <c r="C8" s="4" t="n">
        <f aca="false">SUMIF(BOM!$A:$A,A8,BOM!$G:$G)</f>
        <v>30000</v>
      </c>
      <c r="D8" s="5"/>
    </row>
    <row r="9" customFormat="false" ht="15" hidden="false" customHeight="false" outlineLevel="0" collapsed="false">
      <c r="A9" s="3" t="s">
        <v>10</v>
      </c>
      <c r="B9" s="4" t="n">
        <f aca="false">SUMIF(BOM!$A:$A,A9,BOM!$F:$F)</f>
        <v>5200</v>
      </c>
      <c r="C9" s="4" t="n">
        <f aca="false">SUMIF(BOM!$A:$A,A9,BOM!$G:$G)</f>
        <v>16200</v>
      </c>
      <c r="D9" s="5"/>
    </row>
    <row r="10" customFormat="false" ht="15" hidden="false" customHeight="false" outlineLevel="0" collapsed="false">
      <c r="A10" s="3" t="s">
        <v>11</v>
      </c>
      <c r="B10" s="4" t="n">
        <f aca="false">SUMIF(BOM!$A:$A,A10,BOM!$F:$F)</f>
        <v>10600</v>
      </c>
      <c r="C10" s="4" t="n">
        <f aca="false">SUMIF(BOM!$A:$A,A10,BOM!$G:$G)</f>
        <v>30500</v>
      </c>
      <c r="D10" s="5"/>
    </row>
    <row r="11" customFormat="false" ht="15" hidden="false" customHeight="false" outlineLevel="0" collapsed="false">
      <c r="A11" s="3" t="s">
        <v>12</v>
      </c>
      <c r="B11" s="4" t="n">
        <f aca="false">SUMIF(BOM!$A:$A,A11,BOM!$F:$F)</f>
        <v>4900</v>
      </c>
      <c r="C11" s="4" t="n">
        <f aca="false">SUMIF(BOM!$A:$A,A11,BOM!$G:$G)</f>
        <v>14000</v>
      </c>
      <c r="D11" s="5"/>
    </row>
    <row r="12" customFormat="false" ht="15" hidden="false" customHeight="false" outlineLevel="0" collapsed="false">
      <c r="A12" s="3" t="s">
        <v>13</v>
      </c>
      <c r="B12" s="4" t="n">
        <f aca="false">SUMIF(BOM!$A:$A,A12,BOM!$F:$F)</f>
        <v>3000</v>
      </c>
      <c r="C12" s="4" t="n">
        <f aca="false">SUMIF(BOM!$A:$A,A12,BOM!$G:$G)</f>
        <v>8000</v>
      </c>
      <c r="D12" s="5"/>
    </row>
    <row r="13" customFormat="false" ht="15" hidden="false" customHeight="false" outlineLevel="0" collapsed="false">
      <c r="A13" s="6" t="s">
        <v>14</v>
      </c>
      <c r="B13" s="7" t="n">
        <f aca="false">SUM(B4:B12)</f>
        <v>113500</v>
      </c>
      <c r="C13" s="7" t="n">
        <f aca="false">SUM(C4:C12)</f>
        <v>283200</v>
      </c>
    </row>
    <row r="14" customFormat="false" ht="15" hidden="false" customHeight="false" outlineLevel="0" collapsed="false">
      <c r="A14" s="3" t="s">
        <v>15</v>
      </c>
      <c r="B14" s="8" t="n">
        <f aca="false">0.25*B13</f>
        <v>28375</v>
      </c>
      <c r="C14" s="8" t="n">
        <f aca="false">0.25*C13</f>
        <v>70800</v>
      </c>
    </row>
    <row r="15" customFormat="false" ht="15" hidden="false" customHeight="false" outlineLevel="0" collapsed="false">
      <c r="A15" s="9" t="s">
        <v>16</v>
      </c>
      <c r="B15" s="10" t="n">
        <f aca="false">B13+B14</f>
        <v>141875</v>
      </c>
      <c r="C15" s="10" t="n">
        <f aca="false">C13+C14</f>
        <v>354000</v>
      </c>
    </row>
    <row r="17" customFormat="false" ht="15" hidden="false" customHeight="false" outlineLevel="0" collapsed="false">
      <c r="A17" s="11" t="s">
        <v>17</v>
      </c>
    </row>
    <row r="18" customFormat="false" ht="15" hidden="false" customHeight="false" outlineLevel="0" collapsed="false">
      <c r="A18" s="11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7"/>
    <col collapsed="false" customWidth="true" hidden="false" outlineLevel="0" max="5" min="4" style="0" width="12"/>
    <col collapsed="false" customWidth="true" hidden="false" outlineLevel="0" max="7" min="6" style="0" width="13"/>
    <col collapsed="false" customWidth="true" hidden="false" outlineLevel="0" max="8" min="8" style="0" width="30"/>
  </cols>
  <sheetData>
    <row r="1" customFormat="false" ht="18.55" hidden="false" customHeight="false" outlineLevel="0" collapsed="false">
      <c r="A1" s="1" t="s">
        <v>19</v>
      </c>
    </row>
    <row r="2" customFormat="false" ht="26.85" hidden="false" customHeight="false" outlineLevel="0" collapsed="false">
      <c r="A2" s="2" t="s">
        <v>1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</row>
    <row r="3" customFormat="false" ht="15" hidden="false" customHeight="false" outlineLevel="0" collapsed="false">
      <c r="A3" s="3" t="s">
        <v>5</v>
      </c>
      <c r="B3" s="3" t="s">
        <v>27</v>
      </c>
      <c r="C3" s="12" t="n">
        <v>1</v>
      </c>
      <c r="D3" s="12" t="n">
        <v>6000</v>
      </c>
      <c r="E3" s="12" t="n">
        <v>25000</v>
      </c>
      <c r="F3" s="13" t="n">
        <f aca="false">C3*D3</f>
        <v>6000</v>
      </c>
      <c r="G3" s="13" t="n">
        <f aca="false">C3*E3</f>
        <v>25000</v>
      </c>
      <c r="H3" s="11" t="s">
        <v>28</v>
      </c>
    </row>
    <row r="4" customFormat="false" ht="15" hidden="false" customHeight="false" outlineLevel="0" collapsed="false">
      <c r="A4" s="3" t="s">
        <v>6</v>
      </c>
      <c r="B4" s="3" t="s">
        <v>29</v>
      </c>
      <c r="C4" s="12" t="n">
        <v>1</v>
      </c>
      <c r="D4" s="12" t="n">
        <v>5000</v>
      </c>
      <c r="E4" s="12" t="n">
        <v>15000</v>
      </c>
      <c r="F4" s="13" t="n">
        <f aca="false">C4*D4</f>
        <v>5000</v>
      </c>
      <c r="G4" s="13" t="n">
        <f aca="false">C4*E4</f>
        <v>15000</v>
      </c>
      <c r="H4" s="11"/>
    </row>
    <row r="5" customFormat="false" ht="15" hidden="false" customHeight="false" outlineLevel="0" collapsed="false">
      <c r="A5" s="3" t="s">
        <v>6</v>
      </c>
      <c r="B5" s="3" t="s">
        <v>30</v>
      </c>
      <c r="C5" s="12" t="n">
        <v>1</v>
      </c>
      <c r="D5" s="12" t="n">
        <v>2000</v>
      </c>
      <c r="E5" s="12" t="n">
        <v>6000</v>
      </c>
      <c r="F5" s="13" t="n">
        <f aca="false">C5*D5</f>
        <v>2000</v>
      </c>
      <c r="G5" s="13" t="n">
        <f aca="false">C5*E5</f>
        <v>6000</v>
      </c>
      <c r="H5" s="11"/>
    </row>
    <row r="6" customFormat="false" ht="15" hidden="false" customHeight="false" outlineLevel="0" collapsed="false">
      <c r="A6" s="3" t="s">
        <v>6</v>
      </c>
      <c r="B6" s="3" t="s">
        <v>31</v>
      </c>
      <c r="C6" s="12" t="n">
        <v>1</v>
      </c>
      <c r="D6" s="12" t="n">
        <v>2000</v>
      </c>
      <c r="E6" s="12" t="n">
        <v>6000</v>
      </c>
      <c r="F6" s="13" t="n">
        <f aca="false">C6*D6</f>
        <v>2000</v>
      </c>
      <c r="G6" s="13" t="n">
        <f aca="false">C6*E6</f>
        <v>6000</v>
      </c>
      <c r="H6" s="11" t="s">
        <v>32</v>
      </c>
    </row>
    <row r="7" customFormat="false" ht="15" hidden="false" customHeight="false" outlineLevel="0" collapsed="false">
      <c r="A7" s="3" t="s">
        <v>6</v>
      </c>
      <c r="B7" s="3" t="s">
        <v>33</v>
      </c>
      <c r="C7" s="12" t="n">
        <v>1</v>
      </c>
      <c r="D7" s="12" t="n">
        <v>1500</v>
      </c>
      <c r="E7" s="12" t="n">
        <v>4000</v>
      </c>
      <c r="F7" s="13" t="n">
        <f aca="false">C7*D7</f>
        <v>1500</v>
      </c>
      <c r="G7" s="13" t="n">
        <f aca="false">C7*E7</f>
        <v>4000</v>
      </c>
      <c r="H7" s="11"/>
    </row>
    <row r="8" customFormat="false" ht="15" hidden="false" customHeight="false" outlineLevel="0" collapsed="false">
      <c r="A8" s="3" t="s">
        <v>6</v>
      </c>
      <c r="B8" s="3" t="s">
        <v>34</v>
      </c>
      <c r="C8" s="12" t="n">
        <v>1</v>
      </c>
      <c r="D8" s="12" t="n">
        <v>3000</v>
      </c>
      <c r="E8" s="12" t="n">
        <v>8000</v>
      </c>
      <c r="F8" s="13" t="n">
        <f aca="false">C8*D8</f>
        <v>3000</v>
      </c>
      <c r="G8" s="13" t="n">
        <f aca="false">C8*E8</f>
        <v>8000</v>
      </c>
      <c r="H8" s="11" t="s">
        <v>35</v>
      </c>
    </row>
    <row r="9" customFormat="false" ht="15" hidden="false" customHeight="false" outlineLevel="0" collapsed="false">
      <c r="A9" s="3" t="s">
        <v>6</v>
      </c>
      <c r="B9" s="3" t="s">
        <v>36</v>
      </c>
      <c r="C9" s="12" t="n">
        <v>2</v>
      </c>
      <c r="D9" s="12" t="n">
        <v>1500</v>
      </c>
      <c r="E9" s="12" t="n">
        <v>4000</v>
      </c>
      <c r="F9" s="13" t="n">
        <f aca="false">C9*D9</f>
        <v>3000</v>
      </c>
      <c r="G9" s="13" t="n">
        <f aca="false">C9*E9</f>
        <v>8000</v>
      </c>
      <c r="H9" s="11" t="s">
        <v>37</v>
      </c>
    </row>
    <row r="10" customFormat="false" ht="15" hidden="false" customHeight="false" outlineLevel="0" collapsed="false">
      <c r="A10" s="3" t="s">
        <v>7</v>
      </c>
      <c r="B10" s="3" t="s">
        <v>38</v>
      </c>
      <c r="C10" s="12" t="n">
        <v>1</v>
      </c>
      <c r="D10" s="12" t="n">
        <v>18000</v>
      </c>
      <c r="E10" s="12" t="n">
        <v>35000</v>
      </c>
      <c r="F10" s="13" t="n">
        <f aca="false">C10*D10</f>
        <v>18000</v>
      </c>
      <c r="G10" s="13" t="n">
        <f aca="false">C10*E10</f>
        <v>35000</v>
      </c>
      <c r="H10" s="11" t="s">
        <v>39</v>
      </c>
    </row>
    <row r="11" customFormat="false" ht="15" hidden="false" customHeight="false" outlineLevel="0" collapsed="false">
      <c r="A11" s="3" t="s">
        <v>7</v>
      </c>
      <c r="B11" s="3" t="s">
        <v>40</v>
      </c>
      <c r="C11" s="12" t="n">
        <v>1</v>
      </c>
      <c r="D11" s="12" t="n">
        <v>2500</v>
      </c>
      <c r="E11" s="12" t="n">
        <v>6000</v>
      </c>
      <c r="F11" s="13" t="n">
        <f aca="false">C11*D11</f>
        <v>2500</v>
      </c>
      <c r="G11" s="13" t="n">
        <f aca="false">C11*E11</f>
        <v>6000</v>
      </c>
      <c r="H11" s="11"/>
    </row>
    <row r="12" customFormat="false" ht="15" hidden="false" customHeight="false" outlineLevel="0" collapsed="false">
      <c r="A12" s="3" t="s">
        <v>7</v>
      </c>
      <c r="B12" s="3" t="s">
        <v>41</v>
      </c>
      <c r="C12" s="12" t="n">
        <v>1</v>
      </c>
      <c r="D12" s="12" t="n">
        <v>2500</v>
      </c>
      <c r="E12" s="12" t="n">
        <v>6000</v>
      </c>
      <c r="F12" s="13" t="n">
        <f aca="false">C12*D12</f>
        <v>2500</v>
      </c>
      <c r="G12" s="13" t="n">
        <f aca="false">C12*E12</f>
        <v>6000</v>
      </c>
      <c r="H12" s="11"/>
    </row>
    <row r="13" customFormat="false" ht="15" hidden="false" customHeight="false" outlineLevel="0" collapsed="false">
      <c r="A13" s="3" t="s">
        <v>8</v>
      </c>
      <c r="B13" s="3" t="s">
        <v>42</v>
      </c>
      <c r="C13" s="12" t="n">
        <v>300</v>
      </c>
      <c r="D13" s="12" t="n">
        <v>70</v>
      </c>
      <c r="E13" s="12" t="n">
        <v>110</v>
      </c>
      <c r="F13" s="13" t="n">
        <f aca="false">C13*D13</f>
        <v>21000</v>
      </c>
      <c r="G13" s="13" t="n">
        <f aca="false">C13*E13</f>
        <v>33000</v>
      </c>
      <c r="H13" s="11" t="s">
        <v>43</v>
      </c>
    </row>
    <row r="14" customFormat="false" ht="15" hidden="false" customHeight="false" outlineLevel="0" collapsed="false">
      <c r="A14" s="3" t="s">
        <v>8</v>
      </c>
      <c r="B14" s="3" t="s">
        <v>44</v>
      </c>
      <c r="C14" s="12" t="n">
        <v>1</v>
      </c>
      <c r="D14" s="12" t="n">
        <v>2000</v>
      </c>
      <c r="E14" s="12" t="n">
        <v>5000</v>
      </c>
      <c r="F14" s="13" t="n">
        <f aca="false">C14*D14</f>
        <v>2000</v>
      </c>
      <c r="G14" s="13" t="n">
        <f aca="false">C14*E14</f>
        <v>5000</v>
      </c>
      <c r="H14" s="11"/>
    </row>
    <row r="15" customFormat="false" ht="15" hidden="false" customHeight="false" outlineLevel="0" collapsed="false">
      <c r="A15" s="3" t="s">
        <v>8</v>
      </c>
      <c r="B15" s="3" t="s">
        <v>45</v>
      </c>
      <c r="C15" s="12" t="n">
        <v>1</v>
      </c>
      <c r="D15" s="12" t="n">
        <v>1500</v>
      </c>
      <c r="E15" s="12" t="n">
        <v>4000</v>
      </c>
      <c r="F15" s="13" t="n">
        <f aca="false">C15*D15</f>
        <v>1500</v>
      </c>
      <c r="G15" s="13" t="n">
        <f aca="false">C15*E15</f>
        <v>4000</v>
      </c>
      <c r="H15" s="11"/>
    </row>
    <row r="16" customFormat="false" ht="15" hidden="false" customHeight="false" outlineLevel="0" collapsed="false">
      <c r="A16" s="3" t="s">
        <v>8</v>
      </c>
      <c r="B16" s="3" t="s">
        <v>46</v>
      </c>
      <c r="C16" s="12" t="n">
        <v>1</v>
      </c>
      <c r="D16" s="12" t="n">
        <v>1200</v>
      </c>
      <c r="E16" s="12" t="n">
        <v>2500</v>
      </c>
      <c r="F16" s="13" t="n">
        <f aca="false">C16*D16</f>
        <v>1200</v>
      </c>
      <c r="G16" s="13" t="n">
        <f aca="false">C16*E16</f>
        <v>2500</v>
      </c>
      <c r="H16" s="11"/>
    </row>
    <row r="17" customFormat="false" ht="15" hidden="false" customHeight="false" outlineLevel="0" collapsed="false">
      <c r="A17" s="3" t="s">
        <v>8</v>
      </c>
      <c r="B17" s="3" t="s">
        <v>47</v>
      </c>
      <c r="C17" s="12" t="n">
        <v>1</v>
      </c>
      <c r="D17" s="12" t="n">
        <v>600</v>
      </c>
      <c r="E17" s="12" t="n">
        <v>1500</v>
      </c>
      <c r="F17" s="13" t="n">
        <f aca="false">C17*D17</f>
        <v>600</v>
      </c>
      <c r="G17" s="13" t="n">
        <f aca="false">C17*E17</f>
        <v>1500</v>
      </c>
      <c r="H17" s="11"/>
    </row>
    <row r="18" customFormat="false" ht="15" hidden="false" customHeight="false" outlineLevel="0" collapsed="false">
      <c r="A18" s="3" t="s">
        <v>8</v>
      </c>
      <c r="B18" s="3" t="s">
        <v>48</v>
      </c>
      <c r="C18" s="12" t="n">
        <v>1</v>
      </c>
      <c r="D18" s="12" t="n">
        <v>3000</v>
      </c>
      <c r="E18" s="12" t="n">
        <v>5500</v>
      </c>
      <c r="F18" s="13" t="n">
        <f aca="false">C18*D18</f>
        <v>3000</v>
      </c>
      <c r="G18" s="13" t="n">
        <f aca="false">C18*E18</f>
        <v>5500</v>
      </c>
      <c r="H18" s="11"/>
    </row>
    <row r="19" customFormat="false" ht="15" hidden="false" customHeight="false" outlineLevel="0" collapsed="false">
      <c r="A19" s="3" t="s">
        <v>8</v>
      </c>
      <c r="B19" s="3" t="s">
        <v>49</v>
      </c>
      <c r="C19" s="12" t="n">
        <v>1</v>
      </c>
      <c r="D19" s="12" t="n">
        <v>1500</v>
      </c>
      <c r="E19" s="12" t="n">
        <v>4000</v>
      </c>
      <c r="F19" s="13" t="n">
        <f aca="false">C19*D19</f>
        <v>1500</v>
      </c>
      <c r="G19" s="13" t="n">
        <f aca="false">C19*E19</f>
        <v>4000</v>
      </c>
      <c r="H19" s="11"/>
    </row>
    <row r="20" customFormat="false" ht="15" hidden="false" customHeight="false" outlineLevel="0" collapsed="false">
      <c r="A20" s="3" t="s">
        <v>8</v>
      </c>
      <c r="B20" s="3" t="s">
        <v>50</v>
      </c>
      <c r="C20" s="12" t="n">
        <v>1</v>
      </c>
      <c r="D20" s="12" t="n">
        <v>1500</v>
      </c>
      <c r="E20" s="12" t="n">
        <v>4000</v>
      </c>
      <c r="F20" s="13" t="n">
        <f aca="false">C20*D20</f>
        <v>1500</v>
      </c>
      <c r="G20" s="13" t="n">
        <f aca="false">C20*E20</f>
        <v>4000</v>
      </c>
      <c r="H20" s="11"/>
    </row>
    <row r="21" customFormat="false" ht="15" hidden="false" customHeight="false" outlineLevel="0" collapsed="false">
      <c r="A21" s="3" t="s">
        <v>8</v>
      </c>
      <c r="B21" s="3" t="s">
        <v>51</v>
      </c>
      <c r="C21" s="12" t="n">
        <v>1</v>
      </c>
      <c r="D21" s="12" t="n">
        <v>2000</v>
      </c>
      <c r="E21" s="12" t="n">
        <v>6000</v>
      </c>
      <c r="F21" s="13" t="n">
        <f aca="false">C21*D21</f>
        <v>2000</v>
      </c>
      <c r="G21" s="13" t="n">
        <f aca="false">C21*E21</f>
        <v>6000</v>
      </c>
      <c r="H21" s="11" t="s">
        <v>52</v>
      </c>
    </row>
    <row r="22" customFormat="false" ht="15" hidden="false" customHeight="false" outlineLevel="0" collapsed="false">
      <c r="A22" s="3" t="s">
        <v>9</v>
      </c>
      <c r="B22" s="3" t="s">
        <v>53</v>
      </c>
      <c r="C22" s="12" t="n">
        <v>1</v>
      </c>
      <c r="D22" s="12" t="n">
        <v>3000</v>
      </c>
      <c r="E22" s="12" t="n">
        <v>9000</v>
      </c>
      <c r="F22" s="13" t="n">
        <f aca="false">C22*D22</f>
        <v>3000</v>
      </c>
      <c r="G22" s="13" t="n">
        <f aca="false">C22*E22</f>
        <v>9000</v>
      </c>
      <c r="H22" s="11"/>
    </row>
    <row r="23" customFormat="false" ht="15" hidden="false" customHeight="false" outlineLevel="0" collapsed="false">
      <c r="A23" s="3" t="s">
        <v>9</v>
      </c>
      <c r="B23" s="3" t="s">
        <v>54</v>
      </c>
      <c r="C23" s="12" t="n">
        <v>1</v>
      </c>
      <c r="D23" s="12" t="n">
        <v>1500</v>
      </c>
      <c r="E23" s="12" t="n">
        <v>4000</v>
      </c>
      <c r="F23" s="13" t="n">
        <f aca="false">C23*D23</f>
        <v>1500</v>
      </c>
      <c r="G23" s="13" t="n">
        <f aca="false">C23*E23</f>
        <v>4000</v>
      </c>
      <c r="H23" s="11" t="s">
        <v>55</v>
      </c>
    </row>
    <row r="24" customFormat="false" ht="15" hidden="false" customHeight="false" outlineLevel="0" collapsed="false">
      <c r="A24" s="3" t="s">
        <v>9</v>
      </c>
      <c r="B24" s="3" t="s">
        <v>56</v>
      </c>
      <c r="C24" s="12" t="n">
        <v>1</v>
      </c>
      <c r="D24" s="12" t="n">
        <v>1500</v>
      </c>
      <c r="E24" s="12" t="n">
        <v>4000</v>
      </c>
      <c r="F24" s="13" t="n">
        <f aca="false">C24*D24</f>
        <v>1500</v>
      </c>
      <c r="G24" s="13" t="n">
        <f aca="false">C24*E24</f>
        <v>4000</v>
      </c>
      <c r="H24" s="11"/>
    </row>
    <row r="25" customFormat="false" ht="15" hidden="false" customHeight="false" outlineLevel="0" collapsed="false">
      <c r="A25" s="3" t="s">
        <v>9</v>
      </c>
      <c r="B25" s="3" t="s">
        <v>57</v>
      </c>
      <c r="C25" s="12" t="n">
        <v>1</v>
      </c>
      <c r="D25" s="12" t="n">
        <v>3000</v>
      </c>
      <c r="E25" s="12" t="n">
        <v>10000</v>
      </c>
      <c r="F25" s="13" t="n">
        <f aca="false">C25*D25</f>
        <v>3000</v>
      </c>
      <c r="G25" s="13" t="n">
        <f aca="false">C25*E25</f>
        <v>10000</v>
      </c>
      <c r="H25" s="11"/>
    </row>
    <row r="26" customFormat="false" ht="15" hidden="false" customHeight="false" outlineLevel="0" collapsed="false">
      <c r="A26" s="3" t="s">
        <v>9</v>
      </c>
      <c r="B26" s="3" t="s">
        <v>58</v>
      </c>
      <c r="C26" s="12" t="n">
        <v>1</v>
      </c>
      <c r="D26" s="12" t="n">
        <v>1000</v>
      </c>
      <c r="E26" s="12" t="n">
        <v>3000</v>
      </c>
      <c r="F26" s="13" t="n">
        <f aca="false">C26*D26</f>
        <v>1000</v>
      </c>
      <c r="G26" s="13" t="n">
        <f aca="false">C26*E26</f>
        <v>3000</v>
      </c>
      <c r="H26" s="11"/>
    </row>
    <row r="27" customFormat="false" ht="15" hidden="false" customHeight="false" outlineLevel="0" collapsed="false">
      <c r="A27" s="3" t="s">
        <v>10</v>
      </c>
      <c r="B27" s="3" t="s">
        <v>59</v>
      </c>
      <c r="C27" s="12" t="n">
        <v>1</v>
      </c>
      <c r="D27" s="12" t="n">
        <v>800</v>
      </c>
      <c r="E27" s="12" t="n">
        <v>2500</v>
      </c>
      <c r="F27" s="13" t="n">
        <f aca="false">C27*D27</f>
        <v>800</v>
      </c>
      <c r="G27" s="13" t="n">
        <f aca="false">C27*E27</f>
        <v>2500</v>
      </c>
      <c r="H27" s="11"/>
    </row>
    <row r="28" customFormat="false" ht="15" hidden="false" customHeight="false" outlineLevel="0" collapsed="false">
      <c r="A28" s="3" t="s">
        <v>10</v>
      </c>
      <c r="B28" s="3" t="s">
        <v>60</v>
      </c>
      <c r="C28" s="12" t="n">
        <v>1</v>
      </c>
      <c r="D28" s="12" t="n">
        <v>1500</v>
      </c>
      <c r="E28" s="12" t="n">
        <v>4000</v>
      </c>
      <c r="F28" s="13" t="n">
        <f aca="false">C28*D28</f>
        <v>1500</v>
      </c>
      <c r="G28" s="13" t="n">
        <f aca="false">C28*E28</f>
        <v>4000</v>
      </c>
      <c r="H28" s="11"/>
    </row>
    <row r="29" customFormat="false" ht="15" hidden="false" customHeight="false" outlineLevel="0" collapsed="false">
      <c r="A29" s="3" t="s">
        <v>10</v>
      </c>
      <c r="B29" s="3" t="s">
        <v>61</v>
      </c>
      <c r="C29" s="12" t="n">
        <v>1</v>
      </c>
      <c r="D29" s="12" t="n">
        <v>800</v>
      </c>
      <c r="E29" s="12" t="n">
        <v>2000</v>
      </c>
      <c r="F29" s="13" t="n">
        <f aca="false">C29*D29</f>
        <v>800</v>
      </c>
      <c r="G29" s="13" t="n">
        <f aca="false">C29*E29</f>
        <v>2000</v>
      </c>
      <c r="H29" s="11"/>
    </row>
    <row r="30" customFormat="false" ht="15" hidden="false" customHeight="false" outlineLevel="0" collapsed="false">
      <c r="A30" s="3" t="s">
        <v>10</v>
      </c>
      <c r="B30" s="3" t="s">
        <v>62</v>
      </c>
      <c r="C30" s="12" t="n">
        <v>1</v>
      </c>
      <c r="D30" s="12" t="n">
        <v>800</v>
      </c>
      <c r="E30" s="12" t="n">
        <v>2500</v>
      </c>
      <c r="F30" s="13" t="n">
        <f aca="false">C30*D30</f>
        <v>800</v>
      </c>
      <c r="G30" s="13" t="n">
        <f aca="false">C30*E30</f>
        <v>2500</v>
      </c>
      <c r="H30" s="11"/>
    </row>
    <row r="31" customFormat="false" ht="15" hidden="false" customHeight="false" outlineLevel="0" collapsed="false">
      <c r="A31" s="3" t="s">
        <v>10</v>
      </c>
      <c r="B31" s="3" t="s">
        <v>63</v>
      </c>
      <c r="C31" s="12" t="n">
        <v>1</v>
      </c>
      <c r="D31" s="12" t="n">
        <v>1000</v>
      </c>
      <c r="E31" s="12" t="n">
        <v>4000</v>
      </c>
      <c r="F31" s="13" t="n">
        <f aca="false">C31*D31</f>
        <v>1000</v>
      </c>
      <c r="G31" s="13" t="n">
        <f aca="false">C31*E31</f>
        <v>4000</v>
      </c>
      <c r="H31" s="11" t="s">
        <v>64</v>
      </c>
    </row>
    <row r="32" customFormat="false" ht="15" hidden="false" customHeight="false" outlineLevel="0" collapsed="false">
      <c r="A32" s="3" t="s">
        <v>10</v>
      </c>
      <c r="B32" s="3" t="s">
        <v>65</v>
      </c>
      <c r="C32" s="12" t="n">
        <v>1</v>
      </c>
      <c r="D32" s="12" t="n">
        <v>300</v>
      </c>
      <c r="E32" s="12" t="n">
        <v>1200</v>
      </c>
      <c r="F32" s="13" t="n">
        <f aca="false">C32*D32</f>
        <v>300</v>
      </c>
      <c r="G32" s="13" t="n">
        <f aca="false">C32*E32</f>
        <v>1200</v>
      </c>
      <c r="H32" s="11"/>
    </row>
    <row r="33" customFormat="false" ht="15" hidden="false" customHeight="false" outlineLevel="0" collapsed="false">
      <c r="A33" s="3" t="s">
        <v>11</v>
      </c>
      <c r="B33" s="3" t="s">
        <v>66</v>
      </c>
      <c r="C33" s="12" t="n">
        <v>1</v>
      </c>
      <c r="D33" s="12" t="n">
        <v>600</v>
      </c>
      <c r="E33" s="12" t="n">
        <v>2000</v>
      </c>
      <c r="F33" s="13" t="n">
        <f aca="false">C33*D33</f>
        <v>600</v>
      </c>
      <c r="G33" s="13" t="n">
        <f aca="false">C33*E33</f>
        <v>2000</v>
      </c>
      <c r="H33" s="11" t="s">
        <v>67</v>
      </c>
    </row>
    <row r="34" customFormat="false" ht="15" hidden="false" customHeight="false" outlineLevel="0" collapsed="false">
      <c r="A34" s="3" t="s">
        <v>11</v>
      </c>
      <c r="B34" s="3" t="s">
        <v>68</v>
      </c>
      <c r="C34" s="12" t="n">
        <v>1</v>
      </c>
      <c r="D34" s="12" t="n">
        <v>500</v>
      </c>
      <c r="E34" s="12" t="n">
        <v>1500</v>
      </c>
      <c r="F34" s="13" t="n">
        <f aca="false">C34*D34</f>
        <v>500</v>
      </c>
      <c r="G34" s="13" t="n">
        <f aca="false">C34*E34</f>
        <v>1500</v>
      </c>
      <c r="H34" s="11"/>
    </row>
    <row r="35" customFormat="false" ht="15" hidden="false" customHeight="false" outlineLevel="0" collapsed="false">
      <c r="A35" s="3" t="s">
        <v>11</v>
      </c>
      <c r="B35" s="3" t="s">
        <v>69</v>
      </c>
      <c r="C35" s="12" t="n">
        <v>1</v>
      </c>
      <c r="D35" s="12" t="n">
        <v>1000</v>
      </c>
      <c r="E35" s="12" t="n">
        <v>2500</v>
      </c>
      <c r="F35" s="13" t="n">
        <f aca="false">C35*D35</f>
        <v>1000</v>
      </c>
      <c r="G35" s="13" t="n">
        <f aca="false">C35*E35</f>
        <v>2500</v>
      </c>
      <c r="H35" s="11"/>
    </row>
    <row r="36" customFormat="false" ht="15" hidden="false" customHeight="false" outlineLevel="0" collapsed="false">
      <c r="A36" s="3" t="s">
        <v>11</v>
      </c>
      <c r="B36" s="3" t="s">
        <v>70</v>
      </c>
      <c r="C36" s="12" t="n">
        <v>1</v>
      </c>
      <c r="D36" s="12" t="n">
        <v>1000</v>
      </c>
      <c r="E36" s="12" t="n">
        <v>3000</v>
      </c>
      <c r="F36" s="13" t="n">
        <f aca="false">C36*D36</f>
        <v>1000</v>
      </c>
      <c r="G36" s="13" t="n">
        <f aca="false">C36*E36</f>
        <v>3000</v>
      </c>
      <c r="H36" s="11"/>
    </row>
    <row r="37" customFormat="false" ht="15" hidden="false" customHeight="false" outlineLevel="0" collapsed="false">
      <c r="A37" s="3" t="s">
        <v>11</v>
      </c>
      <c r="B37" s="3" t="s">
        <v>71</v>
      </c>
      <c r="C37" s="12" t="n">
        <v>1</v>
      </c>
      <c r="D37" s="12" t="n">
        <v>1000</v>
      </c>
      <c r="E37" s="12" t="n">
        <v>2500</v>
      </c>
      <c r="F37" s="13" t="n">
        <f aca="false">C37*D37</f>
        <v>1000</v>
      </c>
      <c r="G37" s="13" t="n">
        <f aca="false">C37*E37</f>
        <v>2500</v>
      </c>
      <c r="H37" s="11"/>
    </row>
    <row r="38" customFormat="false" ht="15" hidden="false" customHeight="false" outlineLevel="0" collapsed="false">
      <c r="A38" s="3" t="s">
        <v>11</v>
      </c>
      <c r="B38" s="3" t="s">
        <v>72</v>
      </c>
      <c r="C38" s="12" t="n">
        <v>1</v>
      </c>
      <c r="D38" s="12" t="n">
        <v>5000</v>
      </c>
      <c r="E38" s="12" t="n">
        <v>15000</v>
      </c>
      <c r="F38" s="13" t="n">
        <f aca="false">C38*D38</f>
        <v>5000</v>
      </c>
      <c r="G38" s="13" t="n">
        <f aca="false">C38*E38</f>
        <v>15000</v>
      </c>
      <c r="H38" s="11" t="s">
        <v>73</v>
      </c>
    </row>
    <row r="39" customFormat="false" ht="15" hidden="false" customHeight="false" outlineLevel="0" collapsed="false">
      <c r="A39" s="3" t="s">
        <v>11</v>
      </c>
      <c r="B39" s="3" t="s">
        <v>74</v>
      </c>
      <c r="C39" s="12" t="n">
        <v>1</v>
      </c>
      <c r="D39" s="12" t="n">
        <v>1500</v>
      </c>
      <c r="E39" s="12" t="n">
        <v>4000</v>
      </c>
      <c r="F39" s="13" t="n">
        <f aca="false">C39*D39</f>
        <v>1500</v>
      </c>
      <c r="G39" s="13" t="n">
        <f aca="false">C39*E39</f>
        <v>4000</v>
      </c>
      <c r="H39" s="11"/>
    </row>
    <row r="40" customFormat="false" ht="15" hidden="false" customHeight="false" outlineLevel="0" collapsed="false">
      <c r="A40" s="3" t="s">
        <v>12</v>
      </c>
      <c r="B40" s="3" t="s">
        <v>75</v>
      </c>
      <c r="C40" s="12" t="n">
        <v>1</v>
      </c>
      <c r="D40" s="12" t="n">
        <v>1500</v>
      </c>
      <c r="E40" s="12" t="n">
        <v>4000</v>
      </c>
      <c r="F40" s="13" t="n">
        <f aca="false">C40*D40</f>
        <v>1500</v>
      </c>
      <c r="G40" s="13" t="n">
        <f aca="false">C40*E40</f>
        <v>4000</v>
      </c>
      <c r="H40" s="11"/>
    </row>
    <row r="41" customFormat="false" ht="15" hidden="false" customHeight="false" outlineLevel="0" collapsed="false">
      <c r="A41" s="3" t="s">
        <v>12</v>
      </c>
      <c r="B41" s="3" t="s">
        <v>76</v>
      </c>
      <c r="C41" s="12" t="n">
        <v>1</v>
      </c>
      <c r="D41" s="12" t="n">
        <v>800</v>
      </c>
      <c r="E41" s="12" t="n">
        <v>2500</v>
      </c>
      <c r="F41" s="13" t="n">
        <f aca="false">C41*D41</f>
        <v>800</v>
      </c>
      <c r="G41" s="13" t="n">
        <f aca="false">C41*E41</f>
        <v>2500</v>
      </c>
      <c r="H41" s="11"/>
    </row>
    <row r="42" customFormat="false" ht="15" hidden="false" customHeight="false" outlineLevel="0" collapsed="false">
      <c r="A42" s="3" t="s">
        <v>12</v>
      </c>
      <c r="B42" s="3" t="s">
        <v>77</v>
      </c>
      <c r="C42" s="12" t="n">
        <v>1</v>
      </c>
      <c r="D42" s="12" t="n">
        <v>1000</v>
      </c>
      <c r="E42" s="12" t="n">
        <v>3000</v>
      </c>
      <c r="F42" s="13" t="n">
        <f aca="false">C42*D42</f>
        <v>1000</v>
      </c>
      <c r="G42" s="13" t="n">
        <f aca="false">C42*E42</f>
        <v>3000</v>
      </c>
      <c r="H42" s="11" t="s">
        <v>78</v>
      </c>
    </row>
    <row r="43" customFormat="false" ht="15" hidden="false" customHeight="false" outlineLevel="0" collapsed="false">
      <c r="A43" s="3" t="s">
        <v>12</v>
      </c>
      <c r="B43" s="3" t="s">
        <v>79</v>
      </c>
      <c r="C43" s="12" t="n">
        <v>1</v>
      </c>
      <c r="D43" s="12" t="n">
        <v>1000</v>
      </c>
      <c r="E43" s="12" t="n">
        <v>3000</v>
      </c>
      <c r="F43" s="13" t="n">
        <f aca="false">C43*D43</f>
        <v>1000</v>
      </c>
      <c r="G43" s="13" t="n">
        <f aca="false">C43*E43</f>
        <v>3000</v>
      </c>
      <c r="H43" s="11"/>
    </row>
    <row r="44" customFormat="false" ht="15" hidden="false" customHeight="false" outlineLevel="0" collapsed="false">
      <c r="A44" s="3" t="s">
        <v>12</v>
      </c>
      <c r="B44" s="3" t="s">
        <v>80</v>
      </c>
      <c r="C44" s="12" t="n">
        <v>1</v>
      </c>
      <c r="D44" s="12" t="n">
        <v>600</v>
      </c>
      <c r="E44" s="12" t="n">
        <v>1500</v>
      </c>
      <c r="F44" s="13" t="n">
        <f aca="false">C44*D44</f>
        <v>600</v>
      </c>
      <c r="G44" s="13" t="n">
        <f aca="false">C44*E44</f>
        <v>1500</v>
      </c>
      <c r="H44" s="11"/>
    </row>
    <row r="45" customFormat="false" ht="15" hidden="false" customHeight="false" outlineLevel="0" collapsed="false">
      <c r="A45" s="3" t="s">
        <v>13</v>
      </c>
      <c r="B45" s="3" t="s">
        <v>81</v>
      </c>
      <c r="C45" s="12" t="n">
        <v>1</v>
      </c>
      <c r="D45" s="12" t="n">
        <v>3000</v>
      </c>
      <c r="E45" s="12" t="n">
        <v>8000</v>
      </c>
      <c r="F45" s="13" t="n">
        <f aca="false">C45*D45</f>
        <v>3000</v>
      </c>
      <c r="G45" s="13" t="n">
        <f aca="false">C45*E45</f>
        <v>8000</v>
      </c>
      <c r="H45" s="11"/>
    </row>
    <row r="46" customFormat="false" ht="15" hidden="false" customHeight="false" outlineLevel="0" collapsed="false">
      <c r="A46" s="14"/>
      <c r="B46" s="6" t="s">
        <v>82</v>
      </c>
      <c r="C46" s="14"/>
      <c r="D46" s="14"/>
      <c r="E46" s="14"/>
      <c r="F46" s="7" t="n">
        <f aca="false">SUM(F3:F45)</f>
        <v>113500</v>
      </c>
      <c r="G46" s="7" t="n">
        <f aca="false">SUM(G3:G45)</f>
        <v>283200</v>
      </c>
    </row>
    <row r="47" customFormat="false" ht="15" hidden="false" customHeight="false" outlineLevel="0" collapsed="false">
      <c r="A47" s="5"/>
      <c r="B47" s="3" t="s">
        <v>15</v>
      </c>
      <c r="C47" s="5"/>
      <c r="D47" s="5"/>
      <c r="E47" s="5"/>
      <c r="F47" s="8" t="n">
        <f aca="false">0.25*F46</f>
        <v>28375</v>
      </c>
      <c r="G47" s="8" t="n">
        <f aca="false">0.25*G46</f>
        <v>70800</v>
      </c>
    </row>
    <row r="48" customFormat="false" ht="15" hidden="false" customHeight="false" outlineLevel="0" collapsed="false">
      <c r="A48" s="15"/>
      <c r="B48" s="16" t="s">
        <v>83</v>
      </c>
      <c r="C48" s="15"/>
      <c r="D48" s="15"/>
      <c r="E48" s="15"/>
      <c r="F48" s="17" t="n">
        <f aca="false">F46+F47</f>
        <v>141875</v>
      </c>
      <c r="G48" s="17" t="n">
        <f aca="false">G46+G47</f>
        <v>354000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2026-06-29T18:55:32Z</dcterms:created>
  <dc:creator>openpyxl</dc:creator>
  <dc:description/>
  <dc:language>en-US</dc:language>
  <cp:lastModifiedBy/>
  <dcterms:modified xsi:type="dcterms:W3CDTF">2026-06-29T18:55:32Z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