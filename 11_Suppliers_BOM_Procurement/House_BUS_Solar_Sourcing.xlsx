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ing" sheetId="1" state="visible" r:id="rId3"/>
    <sheet name="Decision &amp; V2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<sst xmlns="http://schemas.openxmlformats.org/spreadsheetml/2006/main" count="70" uniqueCount="61">
  <si>
    <t xml:space="preserve">House BUS - Solar Sourcing Tracker (step 3)</t>
  </si>
  <si>
    <t xml:space="preserve">V2 bus. Adopt rigid+tiltable panels + Victron MPPT; the autonomous deployable array (3.5 -&gt; 5-10 kW) is the Tier-A value-add (net-positive parked).</t>
  </si>
  <si>
    <t xml:space="preserve">Tier A=build | B=adopt. Prices indicative.</t>
  </si>
  <si>
    <t xml:space="preserve">Component</t>
  </si>
  <si>
    <t xml:space="preserve">Tier</t>
  </si>
  <si>
    <t xml:space="preserve">Maker</t>
  </si>
  <si>
    <t xml:space="preserve">Model / part</t>
  </si>
  <si>
    <t xml:space="preserve">Key spec</t>
  </si>
  <si>
    <t xml:space="preserve">Price low ($)</t>
  </si>
  <si>
    <t xml:space="preserve">Price high ($)</t>
  </si>
  <si>
    <t xml:space="preserve">Fit verdict</t>
  </si>
  <si>
    <t xml:space="preserve">V1 pick</t>
  </si>
  <si>
    <t xml:space="preserve">Notes / source</t>
  </si>
  <si>
    <t xml:space="preserve">FIXED ROOF PANELS</t>
  </si>
  <si>
    <t xml:space="preserve">B</t>
  </si>
  <si>
    <t xml:space="preserve">rigid monocrystalline (+ tilt mounts)</t>
  </si>
  <si>
    <t xml:space="preserve">~3.5 kW, ~22-23% cell</t>
  </si>
  <si>
    <t xml:space="preserve">tilt = +40-50% yield</t>
  </si>
  <si>
    <t xml:space="preserve">adopt - rigid, tiltable</t>
  </si>
  <si>
    <t xml:space="preserve">Y</t>
  </si>
  <si>
    <t xml:space="preserve">best yield/area</t>
  </si>
  <si>
    <t xml:space="preserve">DEPLOYABLE ARRAY PANELS</t>
  </si>
  <si>
    <t xml:space="preserve">rigid mono (deployable)</t>
  </si>
  <si>
    <t xml:space="preserve">+~2-6 kW when parked</t>
  </si>
  <si>
    <t xml:space="preserve">extends to 5-10 kW</t>
  </si>
  <si>
    <t xml:space="preserve">adopt panels</t>
  </si>
  <si>
    <t xml:space="preserve">the net-positive boost</t>
  </si>
  <si>
    <t xml:space="preserve">AUTONOMOUS DEPLOY MECHANISM</t>
  </si>
  <si>
    <t xml:space="preserve">A</t>
  </si>
  <si>
    <t xml:space="preserve">(bespoke) actuators + stow</t>
  </si>
  <si>
    <t xml:space="preserve">auto deploy/stow + wind safety</t>
  </si>
  <si>
    <t xml:space="preserve">the value-add</t>
  </si>
  <si>
    <t xml:space="preserve">self-build</t>
  </si>
  <si>
    <t xml:space="preserve">theft/wind stow</t>
  </si>
  <si>
    <t xml:space="preserve">LOW-PROFILE / CURVED</t>
  </si>
  <si>
    <t xml:space="preserve">flexible mono/CIGS</t>
  </si>
  <si>
    <t xml:space="preserve">only where shape demands</t>
  </si>
  <si>
    <t xml:space="preserve">~10-20% lower real yield</t>
  </si>
  <si>
    <t xml:space="preserve">only if needed</t>
  </si>
  <si>
    <t xml:space="preserve">runs hot; avoid where rigid fits</t>
  </si>
  <si>
    <t xml:space="preserve">MPPT</t>
  </si>
  <si>
    <t xml:space="preserve">Victron SmartSolar (or HV MPPT)</t>
  </si>
  <si>
    <t xml:space="preserve">to 48V house (or HV pack)</t>
  </si>
  <si>
    <t xml:space="preserve">x1-2</t>
  </si>
  <si>
    <t xml:space="preserve">adopt</t>
  </si>
  <si>
    <t xml:space="preserve">(also in Power-Electronics)</t>
  </si>
  <si>
    <t xml:space="preserve">TILT MOUNTS + WIRING</t>
  </si>
  <si>
    <t xml:space="preserve">off-the-shelf tilt mounts + MC4</t>
  </si>
  <si>
    <t xml:space="preserve">array wiring</t>
  </si>
  <si>
    <t xml:space="preserve">-</t>
  </si>
  <si>
    <t xml:space="preserve">V1 PICKS - indicative total:</t>
  </si>
  <si>
    <t xml:space="preserve">House BUS - Solar - Decision &amp; V2 Roadmap</t>
  </si>
  <si>
    <t xml:space="preserve">DECISION: adopt rigid + tiltable mono panels (tilt = +40-50% yield; flexible only where roof shape forces it, ~10-20% lower real yield + runs hot) + Victron MPPT; the AUTONOMOUS DEPLOYABLE array (3.5 -&gt; 5-10 kW) is the Tier-A value-add that makes the bus NET-POSITIVE WHILE PARKED (banks ~5-15 mi/day in summer while running the house).</t>
  </si>
  <si>
    <t xml:space="preserve">Open: fixed vs deployable kW split; rigid/flexible mix by roof region; autonomous-deploy mechanism (actuators, wind/theft stow); 48V vs HV MPPT path.</t>
  </si>
  <si>
    <t xml:space="preserve">V2+ headroom: body-integrated solar skin; sun-tracking deploy; bifacial.</t>
  </si>
  <si>
    <t xml:space="preserve">Source</t>
  </si>
  <si>
    <t xml:space="preserve">URL</t>
  </si>
  <si>
    <t xml:space="preserve">Flexible vs rigid (rigid+tilt = best yield)</t>
  </si>
  <si>
    <t xml:space="preserve">https://www.thervgeeks.com/flexible-solar-panels-vs-rigid/</t>
  </si>
  <si>
    <t xml:space="preserve">Flexible 2025 efficiency</t>
  </si>
  <si>
    <t xml:space="preserve">https://solartechonline.com/blog/flexible-solar-panels-guide/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</si>
</sst>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7" min="6" style="0" width="11"/>
    <col collapsed="false" customWidth="true" hidden="false" outlineLevel="0" max="8" min="8" style="0" width="20"/>
    <col collapsed="false" customWidth="true" hidden="false" outlineLevel="0" max="9" min="9" style="0" width="7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3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5"/>
      <c r="C6" s="5"/>
      <c r="D6" s="5"/>
      <c r="E6" s="5"/>
      <c r="F6" s="5"/>
      <c r="G6" s="5"/>
      <c r="H6" s="5"/>
      <c r="I6" s="5"/>
      <c r="J6" s="5"/>
    </row>
    <row r="7" customFormat="false" ht="22.35" hidden="false" customHeight="false" outlineLevel="0" collapsed="false">
      <c r="A7" s="6"/>
      <c r="B7" s="6" t="s">
        <v>14</v>
      </c>
      <c r="C7" s="6" t="s">
        <v>15</v>
      </c>
      <c r="D7" s="6" t="s">
        <v>16</v>
      </c>
      <c r="E7" s="6" t="s">
        <v>17</v>
      </c>
      <c r="F7" s="6" t="n">
        <v>1500</v>
      </c>
      <c r="G7" s="6" t="n">
        <v>4000</v>
      </c>
      <c r="H7" s="6" t="s">
        <v>18</v>
      </c>
      <c r="I7" s="7" t="s">
        <v>19</v>
      </c>
      <c r="J7" s="6" t="s">
        <v>20</v>
      </c>
    </row>
    <row r="8" customFormat="false" ht="15" hidden="false" customHeight="false" outlineLevel="0" collapsed="false">
      <c r="A8" s="4" t="s">
        <v>21</v>
      </c>
      <c r="B8" s="5"/>
      <c r="C8" s="5"/>
      <c r="D8" s="5"/>
      <c r="E8" s="5"/>
      <c r="F8" s="5"/>
      <c r="G8" s="5"/>
      <c r="H8" s="5"/>
      <c r="I8" s="5"/>
      <c r="J8" s="5"/>
    </row>
    <row r="9" customFormat="false" ht="22.35" hidden="false" customHeight="false" outlineLevel="0" collapsed="false">
      <c r="A9" s="6"/>
      <c r="B9" s="6" t="s">
        <v>14</v>
      </c>
      <c r="C9" s="6" t="s">
        <v>22</v>
      </c>
      <c r="D9" s="6" t="s">
        <v>23</v>
      </c>
      <c r="E9" s="6" t="s">
        <v>24</v>
      </c>
      <c r="F9" s="6" t="n">
        <v>1500</v>
      </c>
      <c r="G9" s="6" t="n">
        <v>5000</v>
      </c>
      <c r="H9" s="6" t="s">
        <v>25</v>
      </c>
      <c r="I9" s="7" t="s">
        <v>19</v>
      </c>
      <c r="J9" s="6" t="s">
        <v>26</v>
      </c>
    </row>
    <row r="10" customFormat="false" ht="15" hidden="false" customHeight="false" outlineLevel="0" collapsed="false">
      <c r="A10" s="4" t="s">
        <v>27</v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22.35" hidden="false" customHeight="false" outlineLevel="0" collapsed="false">
      <c r="A11" s="6"/>
      <c r="B11" s="6" t="s">
        <v>28</v>
      </c>
      <c r="C11" s="6" t="s">
        <v>29</v>
      </c>
      <c r="D11" s="6" t="s">
        <v>30</v>
      </c>
      <c r="E11" s="6" t="s">
        <v>31</v>
      </c>
      <c r="F11" s="6" t="n">
        <v>1000</v>
      </c>
      <c r="G11" s="6" t="n">
        <v>4000</v>
      </c>
      <c r="H11" s="6" t="s">
        <v>32</v>
      </c>
      <c r="I11" s="7" t="s">
        <v>19</v>
      </c>
      <c r="J11" s="6" t="s">
        <v>33</v>
      </c>
    </row>
    <row r="12" customFormat="false" ht="15" hidden="false" customHeight="false" outlineLevel="0" collapsed="false">
      <c r="A12" s="4" t="s">
        <v>34</v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22.35" hidden="false" customHeight="false" outlineLevel="0" collapsed="false">
      <c r="A13" s="8"/>
      <c r="B13" s="8" t="s">
        <v>14</v>
      </c>
      <c r="C13" s="8" t="s">
        <v>35</v>
      </c>
      <c r="D13" s="8" t="s">
        <v>36</v>
      </c>
      <c r="E13" s="8" t="s">
        <v>37</v>
      </c>
      <c r="F13" s="8" t="n">
        <v>0</v>
      </c>
      <c r="G13" s="8" t="n">
        <v>0</v>
      </c>
      <c r="H13" s="8" t="s">
        <v>38</v>
      </c>
      <c r="I13" s="8"/>
      <c r="J13" s="8" t="s">
        <v>39</v>
      </c>
    </row>
    <row r="14" customFormat="false" ht="15" hidden="false" customHeight="false" outlineLevel="0" collapsed="false">
      <c r="A14" s="4" t="s">
        <v>40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22.35" hidden="false" customHeight="false" outlineLevel="0" collapsed="false">
      <c r="A15" s="6"/>
      <c r="B15" s="6" t="s">
        <v>14</v>
      </c>
      <c r="C15" s="6" t="s">
        <v>41</v>
      </c>
      <c r="D15" s="6" t="s">
        <v>42</v>
      </c>
      <c r="E15" s="6" t="s">
        <v>43</v>
      </c>
      <c r="F15" s="6" t="n">
        <v>800</v>
      </c>
      <c r="G15" s="6" t="n">
        <v>2000</v>
      </c>
      <c r="H15" s="6" t="s">
        <v>44</v>
      </c>
      <c r="I15" s="7" t="s">
        <v>19</v>
      </c>
      <c r="J15" s="6" t="s">
        <v>45</v>
      </c>
    </row>
    <row r="16" customFormat="false" ht="15" hidden="false" customHeight="false" outlineLevel="0" collapsed="false">
      <c r="A16" s="4" t="s">
        <v>46</v>
      </c>
      <c r="B16" s="5"/>
      <c r="C16" s="5"/>
      <c r="D16" s="5"/>
      <c r="E16" s="5"/>
      <c r="F16" s="5"/>
      <c r="G16" s="5"/>
      <c r="H16" s="5"/>
      <c r="I16" s="5"/>
      <c r="J16" s="5"/>
    </row>
    <row r="17" customFormat="false" ht="22.35" hidden="false" customHeight="false" outlineLevel="0" collapsed="false">
      <c r="A17" s="6"/>
      <c r="B17" s="6" t="s">
        <v>14</v>
      </c>
      <c r="C17" s="6" t="s">
        <v>47</v>
      </c>
      <c r="D17" s="6" t="s">
        <v>48</v>
      </c>
      <c r="E17" s="6"/>
      <c r="F17" s="6" t="n">
        <v>400</v>
      </c>
      <c r="G17" s="6" t="n">
        <v>1200</v>
      </c>
      <c r="H17" s="6" t="s">
        <v>44</v>
      </c>
      <c r="I17" s="7" t="s">
        <v>19</v>
      </c>
      <c r="J17" s="6" t="s">
        <v>49</v>
      </c>
    </row>
    <row r="19" customFormat="false" ht="15" hidden="false" customHeight="false" outlineLevel="0" collapsed="false">
      <c r="A19" s="9" t="s">
        <v>50</v>
      </c>
      <c r="B19" s="9"/>
      <c r="C19" s="9"/>
      <c r="D19" s="9"/>
      <c r="E19" s="9"/>
      <c r="F19" s="10" t="n">
        <f aca="false">SUMIF(I6:I17,"Y",F6:F17)</f>
        <v>5200</v>
      </c>
      <c r="G19" s="10" t="n">
        <f aca="false">SUMIF(I6:I17,"Y",G6:G17)</f>
        <v>16200</v>
      </c>
    </row>
  </sheetData>
  <mergeCells count="1"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6.15" hidden="false" customHeight="false" outlineLevel="0" collapsed="false">
      <c r="A1" s="11" t="s">
        <v>51</v>
      </c>
    </row>
    <row r="3" customFormat="false" ht="35.05" hidden="false" customHeight="false" outlineLevel="0" collapsed="false">
      <c r="A3" s="12" t="s">
        <v>52</v>
      </c>
    </row>
    <row r="4" customFormat="false" ht="23.85" hidden="false" customHeight="false" outlineLevel="0" collapsed="false">
      <c r="A4" s="12" t="s">
        <v>53</v>
      </c>
    </row>
    <row r="5" customFormat="false" ht="15" hidden="false" customHeight="false" outlineLevel="0" collapsed="false">
      <c r="A5" s="1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3" t="s">
        <v>55</v>
      </c>
      <c r="B1" s="13" t="s">
        <v>56</v>
      </c>
    </row>
    <row r="2" customFormat="false" ht="15" hidden="false" customHeight="false" outlineLevel="0" collapsed="false">
      <c r="A2" s="14" t="s">
        <v>57</v>
      </c>
      <c r="B2" s="15" t="s">
        <v>58</v>
      </c>
    </row>
    <row r="3" customFormat="false" ht="15" hidden="false" customHeight="false" outlineLevel="0" collapsed="false">
      <c r="A3" s="14" t="s">
        <v>59</v>
      </c>
      <c r="B3" s="15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2026-06-30T21:03:35Z</dcterms:created>
  <dc:creator>openpyxl</dc:creator>
  <dc:description/>
  <dc:language>en-US</dc:language>
  <cp:lastModifiedBy/>
  <dcterms:modified xsi:type="dcterms:W3CDTF">2026-06-30T21:03:35Z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