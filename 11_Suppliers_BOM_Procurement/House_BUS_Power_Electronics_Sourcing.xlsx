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 Electronics Sourcing" sheetId="1" state="visible" r:id="rId3"/>
    <sheet name="Decision &amp; V2 Roadmap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<sst xmlns="http://schemas.openxmlformats.org/spreadsheetml/2006/main" count="123" uniqueCount="99">
  <si>
    <t xml:space="preserve">House BUS - Power Electronics Sourcing Tracker (step 3)</t>
  </si>
  <si>
    <t xml:space="preserve">Scope = conversion + 48V distribution + AC island. HV-TERMINAL items (DC-DC HV&lt;-&gt;48V, contactors, pyro fuse, IMD, HV charge inlet/cable) live in the BATTERY tracker - cross-referenced, not duplicated.</t>
  </si>
  <si>
    <t xml:space="preserve">Verdict from vetting: this is the most ADOPT-off-the-shelf subsystem - Victron / Gigavac-Bender ecosystem. Value-add = integration &amp; packaging, not new converters. NACS-first, MCS-ready.</t>
  </si>
  <si>
    <t xml:space="preserve">Tier A=build (not pursued here) | B=quality off-the-shelf (the path) | C=premium/OEM. Prices indicative.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</si>
  <si>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</si>
  <si>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</si>
  <si>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</si>
  <si>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</si>
  <si>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</si>
  <si>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Voltage / role</t>
  </si>
  <si>
    <t xml:space="preserve">Price low ($)</t>
  </si>
  <si>
    <t xml:space="preserve">Price high ($)</t>
  </si>
  <si>
    <t xml:space="preserve">Small-buyer access</t>
  </si>
  <si>
    <t xml:space="preserve">Fit verdict</t>
  </si>
  <si>
    <t xml:space="preserve">V1 pick</t>
  </si>
  <si>
    <t xml:space="preserve">Notes / source</t>
  </si>
  <si>
    <t xml:space="preserve">SHORE CHARGER + small convenience inverter (ALL-DC reframe)</t>
  </si>
  <si>
    <t xml:space="preserve">B</t>
  </si>
  <si>
    <t xml:space="preserve">Victron</t>
  </si>
  <si>
    <t xml:space="preserve">Skylla/Phoenix charger + Phoenix 800VA</t>
  </si>
  <si>
    <t xml:space="preserve">shore AC-&gt;DC charge + small switchable inverter</t>
  </si>
  <si>
    <t xml:space="preserve">AC&lt;-&gt;48V</t>
  </si>
  <si>
    <t xml:space="preserve">Marine/RV dealers</t>
  </si>
  <si>
    <t xml:space="preserve">V1: NO main inverter (all-DC). Charger for shore; ~1.5kW inverter (hair-dryer-driven) eco/off for rare AC-only</t>
  </si>
  <si>
    <t xml:space="preserve">Y</t>
  </si>
  <si>
    <t xml:space="preserve">all-DC: see DC_Native_Appliance_Audit.md</t>
  </si>
  <si>
    <t xml:space="preserve">EG4 / Growatt</t>
  </si>
  <si>
    <t xml:space="preserve">48V inverter/charger</t>
  </si>
  <si>
    <t xml:space="preserve">cheaper alt</t>
  </si>
  <si>
    <t xml:space="preserve">48V-&gt;120V AC</t>
  </si>
  <si>
    <t xml:space="preserve">Direct</t>
  </si>
  <si>
    <t xml:space="preserve">Only if a larger convenience inverter wanted</t>
  </si>
  <si>
    <t xml:space="preserve">-</t>
  </si>
  <si>
    <t xml:space="preserve">SOLAR MPPT / CHARGE CONTROL</t>
  </si>
  <si>
    <t xml:space="preserve">SmartSolar MPPT (250/100)</t>
  </si>
  <si>
    <t xml:space="preserve">roof + deployable arrays</t>
  </si>
  <si>
    <t xml:space="preserve">PV-&gt;48V</t>
  </si>
  <si>
    <t xml:space="preserve">Dealers</t>
  </si>
  <si>
    <t xml:space="preserve">V1 pick; 1-2 units</t>
  </si>
  <si>
    <t xml:space="preserve">HV MPPT alt for direct-to-pack</t>
  </si>
  <si>
    <t xml:space="preserve">48V DISTRIBUTION / PDM</t>
  </si>
  <si>
    <t xml:space="preserve">Lynx Distributor + busbars</t>
  </si>
  <si>
    <t xml:space="preserve">fused 48V bus</t>
  </si>
  <si>
    <t xml:space="preserve">48V</t>
  </si>
  <si>
    <t xml:space="preserve">Eaton/Littelfuse/Blue Sea</t>
  </si>
  <si>
    <t xml:space="preserve">MIDI / MEGA / ANL fuses</t>
  </si>
  <si>
    <t xml:space="preserve">per-branch 48V</t>
  </si>
  <si>
    <t xml:space="preserve">Off-the-shelf</t>
  </si>
  <si>
    <t xml:space="preserve">Adopt</t>
  </si>
  <si>
    <t xml:space="preserve">matched to ampacity</t>
  </si>
  <si>
    <t xml:space="preserve">12 / 5 V BUCK CONVERTERS</t>
  </si>
  <si>
    <t xml:space="preserve">Victron / generic</t>
  </si>
  <si>
    <t xml:space="preserve">Orion-Tr + point-of-use buck</t>
  </si>
  <si>
    <t xml:space="preserve">electronics/sensors/USB</t>
  </si>
  <si>
    <t xml:space="preserve">48-&gt;12/5V</t>
  </si>
  <si>
    <t xml:space="preserve">Bucked at point of use</t>
  </si>
  <si>
    <t xml:space="preserve">no long LV runs</t>
  </si>
  <si>
    <t xml:space="preserve">SYSTEM MONITORING</t>
  </si>
  <si>
    <t xml:space="preserve">Cerbo GX + SmartShunt (+INA219)</t>
  </si>
  <si>
    <t xml:space="preserve">pack/branch metering, VRM</t>
  </si>
  <si>
    <t xml:space="preserve">12/48V</t>
  </si>
  <si>
    <t xml:space="preserve">V1 pick; surfaces to Controls dash</t>
  </si>
  <si>
    <t xml:space="preserve">ties to Controls track</t>
  </si>
  <si>
    <t xml:space="preserve">120 V AC DISTRIBUTION</t>
  </si>
  <si>
    <t xml:space="preserve">Blue Sea / generic</t>
  </si>
  <si>
    <t xml:space="preserve">AC breaker panel + GFCI + shore inlet</t>
  </si>
  <si>
    <t xml:space="preserve">wet-zone GFCI, surge</t>
  </si>
  <si>
    <t xml:space="preserve">120V AC</t>
  </si>
  <si>
    <t xml:space="preserve">Adopt; transfer sw in MultiPlus</t>
  </si>
  <si>
    <t xml:space="preserve">GFCI every wet circuit</t>
  </si>
  <si>
    <t xml:space="preserve">(CROSS-REF: in BATTERY tracker)</t>
  </si>
  <si>
    <t xml:space="preserve">Vicor / Gigavac / Bender / Amphenol</t>
  </si>
  <si>
    <t xml:space="preserve">DC-DC HV&lt;-&gt;48V, contactors, IMD, charge inlet</t>
  </si>
  <si>
    <t xml:space="preserve">HV-terminal</t>
  </si>
  <si>
    <t xml:space="preserve">400V</t>
  </si>
  <si>
    <t xml:space="preserve">see Battery tracker</t>
  </si>
  <si>
    <t xml:space="preserve">Not duplicated here</t>
  </si>
  <si>
    <t xml:space="preserve">House_BUS_Battery_Sourcing.xlsx</t>
  </si>
  <si>
    <t xml:space="preserve">V1 POWER-ELECTRONICS (excl. HV-terminal items in Battery tracker) - indicative total:</t>
  </si>
  <si>
    <t xml:space="preserve">+ HV-terminal items in Battery tracker</t>
  </si>
  <si>
    <t xml:space="preserve">House BUS - Power Electronics: Decision &amp; V2 Roadmap</t>
  </si>
  <si>
    <t xml:space="preserve">VERDICT: the most ADOPT-off-the-shelf subsystem on the bus - and that's correct. Victron (inverter/charger + MPPT + monitoring), plus Gigavac/Bender + Vicor on the HV side (in the Battery tracker). Reinventing any of it would be vanity that steals engineering from the battery and thermal cores. Value-add = integration &amp; packaging (distribution bay, busbars, fusing layout, single-line diagram).</t>
  </si>
  <si>
    <t xml:space="preserve">SCOPE SPLIT: HV-terminal parts (DC-DC HV&lt;-&gt;48V, contactors, pyro fuse, IMD, HV charge inlet + cable) are tracked in House_BUS_Battery_Sourcing.xlsx (TJ: 'anything that connects to the battery is battery'). This sheet = 48V distribution, AC inverter/charger, solar MPPT, 12/5V buck, monitoring, 120V AC distribution.</t>
  </si>
  <si>
    <t xml:space="preserve">CHARGING: NACS-first (mature ~250 kW workhorse), MCS-ready inlet (MCS real but early - IEC TS 63379 Feb 2026, first NA session Mar 2026, depot/hub-scale). J1772/CCS via adapter only.</t>
  </si>
  <si>
    <t xml:space="preserve">OPEN (from vetting): inverter feed 48V-fed vs HV(400V)-fed (sizes the 48V backbone); Vicor BCM module count/redundancy; bidirectional DC-DC yes/no; MCS inlet standard; dedicated onboard AC charger vs rely on Victron charger.</t>
  </si>
  <si>
    <t xml:space="preserve">V2 HEADROOM: 800V-native DC-DC (Vicor spans it) + HV-fed inverter option; MCS inlet as standard matures; bidirectional DC-DC for V2G / solar-to-traction assist.</t>
  </si>
  <si>
    <t xml:space="preserve">ALL-DC REFRAME (2026-06-29): the 120 V AC island + ~5 kW always-on inverter are DELETED. Bus runs 48/24/12 V + USB-C PD via point-of-use bucks; cooking = 48 V DC induction. A shore AC-&gt;DC charger stays; a small switchable inverter (~1.5 kW, hair-dryer-driven, eco/off) is a convenience backstop only. Saves ~0.5-1.2 kWh/day idle + ~10-20% conversion loss on electronics, plus weight/cost. Full audit: DC_Native_Appliance_Audit.md.</t>
  </si>
  <si>
    <t xml:space="preserve">Source</t>
  </si>
  <si>
    <t xml:space="preserve">URL</t>
  </si>
  <si>
    <t xml:space="preserve">Vicor HV-to-48V modules</t>
  </si>
  <si>
    <t xml:space="preserve">https://www.vicorpower.com/industries-and-innovations/vicor-48v/hv-to-48v</t>
  </si>
  <si>
    <t xml:space="preserve">Victron MultiPlus-II</t>
  </si>
  <si>
    <t xml:space="preserve">https://www.victronenergy.com/inverters-chargers/multiplus-ii</t>
  </si>
  <si>
    <t xml:space="preserve">Victron SmartSolar MPPT</t>
  </si>
  <si>
    <t xml:space="preserve">https://www.victronenergy.com/solar-charge-controllers</t>
  </si>
  <si>
    <t xml:space="preserve">MCS deployment 2026</t>
  </si>
  <si>
    <t xml:space="preserve">https://electrek.co/2026/03/26/this-chargers-first-megawatt-truck-charge-hits-north-america/</t>
  </si>
  <si>
    <t xml:space="preserve">CharIN MCS</t>
  </si>
  <si>
    <t xml:space="preserve">https://www.charin.global/technology/mcs/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</si>
</sst>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6" min="6" style="1" width="15"/>
    <col collapsed="false" customWidth="true" hidden="false" outlineLevel="0" max="8" min="7" style="1" width="11"/>
    <col collapsed="false" customWidth="true" hidden="false" outlineLevel="0" max="9" min="9" style="1" width="16"/>
    <col collapsed="false" customWidth="true" hidden="false" outlineLevel="0" max="10" min="10" style="1" width="21"/>
    <col collapsed="false" customWidth="true" hidden="false" outlineLevel="0" max="11" min="11" style="1" width="7"/>
    <col collapsed="false" customWidth="true" hidden="false" outlineLevel="0" max="12" min="12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6" customFormat="false" ht="23.2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customFormat="false" ht="15" hidden="false" customHeight="true" outlineLevel="0" collapsed="false">
      <c r="A7" s="5" t="s">
        <v>16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21.75" hidden="false" customHeight="true" outlineLevel="0" collapsed="false">
      <c r="A8" s="7"/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n">
        <v>400</v>
      </c>
      <c r="H8" s="7" t="n">
        <v>1200</v>
      </c>
      <c r="I8" s="7" t="s">
        <v>22</v>
      </c>
      <c r="J8" s="7" t="s">
        <v>23</v>
      </c>
      <c r="K8" s="8" t="s">
        <v>24</v>
      </c>
      <c r="L8" s="7" t="s">
        <v>25</v>
      </c>
    </row>
    <row r="9" customFormat="false" ht="15" hidden="false" customHeight="true" outlineLevel="0" collapsed="false">
      <c r="A9" s="9"/>
      <c r="B9" s="9" t="s">
        <v>17</v>
      </c>
      <c r="C9" s="9" t="s">
        <v>26</v>
      </c>
      <c r="D9" s="9" t="s">
        <v>27</v>
      </c>
      <c r="E9" s="9" t="s">
        <v>28</v>
      </c>
      <c r="F9" s="9" t="s">
        <v>29</v>
      </c>
      <c r="G9" s="9" t="n">
        <v>700</v>
      </c>
      <c r="H9" s="9" t="n">
        <v>1400</v>
      </c>
      <c r="I9" s="9" t="s">
        <v>30</v>
      </c>
      <c r="J9" s="9" t="s">
        <v>31</v>
      </c>
      <c r="K9" s="9"/>
      <c r="L9" s="9" t="s">
        <v>32</v>
      </c>
    </row>
    <row r="10" customFormat="false" ht="15" hidden="false" customHeight="true" outlineLevel="0" collapsed="false">
      <c r="A10" s="5" t="s">
        <v>33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21.75" hidden="false" customHeight="true" outlineLevel="0" collapsed="false">
      <c r="A11" s="7"/>
      <c r="B11" s="7" t="s">
        <v>17</v>
      </c>
      <c r="C11" s="7" t="s">
        <v>18</v>
      </c>
      <c r="D11" s="7" t="s">
        <v>34</v>
      </c>
      <c r="E11" s="7" t="s">
        <v>35</v>
      </c>
      <c r="F11" s="7" t="s">
        <v>36</v>
      </c>
      <c r="G11" s="7" t="n">
        <v>800</v>
      </c>
      <c r="H11" s="7" t="n">
        <v>2000</v>
      </c>
      <c r="I11" s="7" t="s">
        <v>37</v>
      </c>
      <c r="J11" s="7" t="s">
        <v>38</v>
      </c>
      <c r="K11" s="8" t="s">
        <v>24</v>
      </c>
      <c r="L11" s="7" t="s">
        <v>39</v>
      </c>
    </row>
    <row r="12" customFormat="false" ht="15" hidden="false" customHeight="true" outlineLevel="0" collapsed="false">
      <c r="A12" s="5" t="s">
        <v>40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true" outlineLevel="0" collapsed="false">
      <c r="A13" s="7"/>
      <c r="B13" s="7" t="s">
        <v>17</v>
      </c>
      <c r="C13" s="7" t="s">
        <v>18</v>
      </c>
      <c r="D13" s="7" t="s">
        <v>41</v>
      </c>
      <c r="E13" s="7" t="s">
        <v>42</v>
      </c>
      <c r="F13" s="7" t="s">
        <v>43</v>
      </c>
      <c r="G13" s="7" t="n">
        <v>300</v>
      </c>
      <c r="H13" s="7" t="n">
        <v>700</v>
      </c>
      <c r="I13" s="7" t="s">
        <v>37</v>
      </c>
      <c r="J13" s="7" t="s">
        <v>14</v>
      </c>
      <c r="K13" s="8" t="s">
        <v>24</v>
      </c>
      <c r="L13" s="7" t="s">
        <v>32</v>
      </c>
    </row>
    <row r="14" customFormat="false" ht="21.75" hidden="false" customHeight="true" outlineLevel="0" collapsed="false">
      <c r="A14" s="7"/>
      <c r="B14" s="7" t="s">
        <v>17</v>
      </c>
      <c r="C14" s="7" t="s">
        <v>44</v>
      </c>
      <c r="D14" s="7" t="s">
        <v>45</v>
      </c>
      <c r="E14" s="7" t="s">
        <v>46</v>
      </c>
      <c r="F14" s="7" t="s">
        <v>43</v>
      </c>
      <c r="G14" s="7" t="n">
        <v>100</v>
      </c>
      <c r="H14" s="7" t="n">
        <v>300</v>
      </c>
      <c r="I14" s="7" t="s">
        <v>47</v>
      </c>
      <c r="J14" s="7" t="s">
        <v>48</v>
      </c>
      <c r="K14" s="8" t="s">
        <v>24</v>
      </c>
      <c r="L14" s="7" t="s">
        <v>49</v>
      </c>
    </row>
    <row r="15" customFormat="false" ht="15" hidden="false" customHeight="true" outlineLevel="0" collapsed="false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21.75" hidden="false" customHeight="true" outlineLevel="0" collapsed="false">
      <c r="A16" s="7"/>
      <c r="B16" s="7" t="s">
        <v>17</v>
      </c>
      <c r="C16" s="7" t="s">
        <v>51</v>
      </c>
      <c r="D16" s="7" t="s">
        <v>52</v>
      </c>
      <c r="E16" s="7" t="s">
        <v>53</v>
      </c>
      <c r="F16" s="7" t="s">
        <v>54</v>
      </c>
      <c r="G16" s="7" t="n">
        <v>200</v>
      </c>
      <c r="H16" s="7" t="n">
        <v>600</v>
      </c>
      <c r="I16" s="7" t="s">
        <v>37</v>
      </c>
      <c r="J16" s="7" t="s">
        <v>55</v>
      </c>
      <c r="K16" s="8" t="s">
        <v>24</v>
      </c>
      <c r="L16" s="7" t="s">
        <v>56</v>
      </c>
    </row>
    <row r="17" customFormat="false" ht="15" hidden="false" customHeight="true" outlineLevel="0" collapsed="false">
      <c r="A17" s="5" t="s">
        <v>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21.75" hidden="false" customHeight="true" outlineLevel="0" collapsed="false">
      <c r="A18" s="7"/>
      <c r="B18" s="7" t="s">
        <v>17</v>
      </c>
      <c r="C18" s="7" t="s">
        <v>18</v>
      </c>
      <c r="D18" s="7" t="s">
        <v>58</v>
      </c>
      <c r="E18" s="7" t="s">
        <v>59</v>
      </c>
      <c r="F18" s="7" t="s">
        <v>60</v>
      </c>
      <c r="G18" s="7" t="n">
        <v>400</v>
      </c>
      <c r="H18" s="7" t="n">
        <v>900</v>
      </c>
      <c r="I18" s="7" t="s">
        <v>37</v>
      </c>
      <c r="J18" s="7" t="s">
        <v>61</v>
      </c>
      <c r="K18" s="8" t="s">
        <v>24</v>
      </c>
      <c r="L18" s="7" t="s">
        <v>62</v>
      </c>
    </row>
    <row r="19" customFormat="false" ht="15" hidden="false" customHeight="true" outlineLevel="0" collapsed="false">
      <c r="A19" s="5" t="s">
        <v>63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1.75" hidden="false" customHeight="true" outlineLevel="0" collapsed="false">
      <c r="A20" s="7"/>
      <c r="B20" s="7" t="s">
        <v>17</v>
      </c>
      <c r="C20" s="7" t="s">
        <v>64</v>
      </c>
      <c r="D20" s="7" t="s">
        <v>65</v>
      </c>
      <c r="E20" s="7" t="s">
        <v>66</v>
      </c>
      <c r="F20" s="7" t="s">
        <v>67</v>
      </c>
      <c r="G20" s="7" t="n">
        <v>300</v>
      </c>
      <c r="H20" s="7" t="n">
        <v>700</v>
      </c>
      <c r="I20" s="7" t="s">
        <v>47</v>
      </c>
      <c r="J20" s="7" t="s">
        <v>68</v>
      </c>
      <c r="K20" s="8" t="s">
        <v>24</v>
      </c>
      <c r="L20" s="7" t="s">
        <v>69</v>
      </c>
    </row>
    <row r="21" customFormat="false" ht="15" hidden="false" customHeight="true" outlineLevel="0" collapsed="false">
      <c r="A21" s="5" t="s">
        <v>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2.25" hidden="false" customHeight="true" outlineLevel="0" collapsed="false">
      <c r="A22" s="9"/>
      <c r="B22" s="9" t="s">
        <v>32</v>
      </c>
      <c r="C22" s="9" t="s">
        <v>71</v>
      </c>
      <c r="D22" s="9" t="s">
        <v>72</v>
      </c>
      <c r="E22" s="9" t="s">
        <v>73</v>
      </c>
      <c r="F22" s="9" t="s">
        <v>74</v>
      </c>
      <c r="G22" s="9"/>
      <c r="H22" s="9"/>
      <c r="I22" s="9" t="s">
        <v>75</v>
      </c>
      <c r="J22" s="9" t="s">
        <v>76</v>
      </c>
      <c r="K22" s="9"/>
      <c r="L22" s="9" t="s">
        <v>77</v>
      </c>
    </row>
    <row r="24" customFormat="false" ht="15" hidden="false" customHeight="true" outlineLevel="0" collapsed="false">
      <c r="A24" s="10" t="s">
        <v>78</v>
      </c>
      <c r="B24" s="10"/>
      <c r="C24" s="10"/>
      <c r="D24" s="10"/>
      <c r="E24" s="10"/>
      <c r="F24" s="10"/>
      <c r="G24" s="11" t="n">
        <f aca="false">SUMIF(K7:K22,"Y",G7:G22)</f>
        <v>2500</v>
      </c>
      <c r="H24" s="11" t="n">
        <f aca="false">SUMIF(K7:K22,"Y",H7:H22)</f>
        <v>6400</v>
      </c>
      <c r="J24" s="3" t="s">
        <v>79</v>
      </c>
    </row>
  </sheetData>
  <mergeCells count="1"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12" t="s">
        <v>80</v>
      </c>
    </row>
    <row r="2" customFormat="false" ht="51.75" hidden="false" customHeight="true" outlineLevel="0" collapsed="false">
      <c r="A2" s="13" t="s">
        <v>81</v>
      </c>
    </row>
    <row r="3" customFormat="false" ht="34.5" hidden="false" customHeight="true" outlineLevel="0" collapsed="false">
      <c r="A3" s="14" t="s">
        <v>82</v>
      </c>
    </row>
    <row r="4" customFormat="false" ht="23.25" hidden="false" customHeight="true" outlineLevel="0" collapsed="false">
      <c r="A4" s="14" t="s">
        <v>83</v>
      </c>
    </row>
    <row r="5" customFormat="false" ht="23.25" hidden="false" customHeight="true" outlineLevel="0" collapsed="false">
      <c r="A5" s="14" t="s">
        <v>84</v>
      </c>
    </row>
    <row r="6" customFormat="false" ht="23.25" hidden="false" customHeight="true" outlineLevel="0" collapsed="false">
      <c r="A6" s="14" t="s">
        <v>85</v>
      </c>
    </row>
    <row r="7" customFormat="false" ht="51.75" hidden="false" customHeight="true" outlineLevel="0" collapsed="false">
      <c r="A7" s="1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0"/>
  </cols>
  <sheetData>
    <row r="1" customFormat="false" ht="15" hidden="false" customHeight="true" outlineLevel="0" collapsed="false">
      <c r="A1" s="15" t="s">
        <v>87</v>
      </c>
      <c r="B1" s="15" t="s">
        <v>88</v>
      </c>
    </row>
    <row r="2" customFormat="false" ht="15" hidden="false" customHeight="true" outlineLevel="0" collapsed="false">
      <c r="A2" s="16" t="s">
        <v>89</v>
      </c>
      <c r="B2" s="17" t="s">
        <v>90</v>
      </c>
    </row>
    <row r="3" customFormat="false" ht="15" hidden="false" customHeight="true" outlineLevel="0" collapsed="false">
      <c r="A3" s="16" t="s">
        <v>91</v>
      </c>
      <c r="B3" s="17" t="s">
        <v>92</v>
      </c>
    </row>
    <row r="4" customFormat="false" ht="15" hidden="false" customHeight="true" outlineLevel="0" collapsed="false">
      <c r="A4" s="16" t="s">
        <v>93</v>
      </c>
      <c r="B4" s="17" t="s">
        <v>94</v>
      </c>
    </row>
    <row r="5" customFormat="false" ht="15" hidden="false" customHeight="true" outlineLevel="0" collapsed="false">
      <c r="A5" s="16" t="s">
        <v>95</v>
      </c>
      <c r="B5" s="17" t="s">
        <v>96</v>
      </c>
    </row>
    <row r="6" customFormat="false" ht="15" hidden="false" customHeight="true" outlineLevel="0" collapsed="false">
      <c r="A6" s="16" t="s">
        <v>97</v>
      </c>
      <c r="B6" s="1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2026-06-30T13:03:05Z</dcterms:created>
  <dc:creator>openpyxl</dc:creator>
  <dc:description/>
  <dc:language>en-US</dc:language>
  <cp:lastModifiedBy/>
  <dcterms:modified xsi:type="dcterms:W3CDTF">2026-06-30T13:30:46Z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