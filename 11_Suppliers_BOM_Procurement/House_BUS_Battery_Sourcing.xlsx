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ery System Sourcing" sheetId="1" state="visible" r:id="rId3"/>
    <sheet name="Decision &amp; V2 Roadmap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<sst xmlns="http://schemas.openxmlformats.org/spreadsheetml/2006/main" count="232" uniqueCount="177">
  <si>
    <t xml:space="preserve">House BUS - Battery System Sourcing Tracker (step 3)</t>
  </si>
  <si>
    <t xml:space="preserve">Pack: ~330 kWh sodium dual-domain (300 @ 400V traction + 30 @ 48V house), structural. Bespoke ROBOFORMED shell + OEM-grade electrical guts.</t>
  </si>
  <si>
    <t xml:space="preserve">HV-QUALITY PRINCIPLE: prefer manufacturer-integrated, torque-spec'd HV parts sourced WITH the cells over bespoke connections. Tier A=build/assemble | B=quality third-party (buildable now) | C=manufacturer-integrated/premium (OEM-tier, channel-gated).</t>
  </si>
  <si>
    <t xml:space="preserve">Prices indicative (confirm at quote). Cells dominate cost. Cooling = simple bottom-plate (sodium needs no tight TMS).</t>
  </si>
  <si>
    <t xml:space="preserve">Component</t>
  </si>
  <si>
    <t xml:space="preserve">Tier</t>
  </si>
  <si>
    <t xml:space="preserve">Maker</t>
  </si>
  <si>
    <t xml:space="preserve">Model / part</t>
  </si>
  <si>
    <t xml:space="preserve">Key spec</t>
  </si>
  <si>
    <t xml:space="preserve">Voltage / role</t>
  </si>
  <si>
    <t xml:space="preserve">Price low ($)</t>
  </si>
  <si>
    <t xml:space="preserve">Price high ($)</t>
  </si>
  <si>
    <t xml:space="preserve">Small-buyer access</t>
  </si>
  <si>
    <t xml:space="preserve">Fit verdict</t>
  </si>
  <si>
    <t xml:space="preserve">V1 pick</t>
  </si>
  <si>
    <t xml:space="preserve">Notes / source</t>
  </si>
  <si>
    <t xml:space="preserve">SODIUM CELLS (~330 kWh)</t>
  </si>
  <si>
    <t xml:space="preserve">B</t>
  </si>
  <si>
    <t xml:space="preserve">HiNa / CATL via Chinese distrib.</t>
  </si>
  <si>
    <t xml:space="preserve">prismatic 3.0-3.1V 70-220Ah</t>
  </si>
  <si>
    <t xml:space="preserve">~175 Wh/kg target</t>
  </si>
  <si>
    <t xml:space="preserve">cells</t>
  </si>
  <si>
    <t xml:space="preserve">MOQ 1-4, buyable now</t>
  </si>
  <si>
    <t xml:space="preserve">Buildable-now V1 source</t>
  </si>
  <si>
    <t xml:space="preserve">Y</t>
  </si>
  <si>
    <t xml:space="preserve">automotive-grade for mass; BESS-grade heavier</t>
  </si>
  <si>
    <t xml:space="preserve">C</t>
  </si>
  <si>
    <t xml:space="preserve">CATL Naxtra (direct)</t>
  </si>
  <si>
    <t xml:space="preserve">Naxtra automotive cell</t>
  </si>
  <si>
    <t xml:space="preserve">~175 Wh/kg, -40/+70C</t>
  </si>
  <si>
    <t xml:space="preserve">OEM-tier / channel reach</t>
  </si>
  <si>
    <t xml:space="preserve">Best density; target</t>
  </si>
  <si>
    <t xml:space="preserve">needs relationship</t>
  </si>
  <si>
    <t xml:space="preserve">(reject)</t>
  </si>
  <si>
    <t xml:space="preserve">Natron</t>
  </si>
  <si>
    <t xml:space="preserve">Prussian-blue</t>
  </si>
  <si>
    <t xml:space="preserve">high-power/low-energy</t>
  </si>
  <si>
    <t xml:space="preserve">-</t>
  </si>
  <si>
    <t xml:space="preserve">Wrong chemistry</t>
  </si>
  <si>
    <t xml:space="preserve">power not energy</t>
  </si>
  <si>
    <t xml:space="preserve">STRUCTURAL ENCLOSURE</t>
  </si>
  <si>
    <t xml:space="preserve">A</t>
  </si>
  <si>
    <t xml:space="preserve">Machina Labs (roboforming)</t>
  </si>
  <si>
    <t xml:space="preserve">dieless incremental sheet form</t>
  </si>
  <si>
    <t xml:space="preserve">steel shell + Al crush rails</t>
  </si>
  <si>
    <t xml:space="preserve">structure</t>
  </si>
  <si>
    <t xml:space="preserve">Service / quote</t>
  </si>
  <si>
    <t xml:space="preserve">Handles wheel-well geometry, no welding</t>
  </si>
  <si>
    <t xml:space="preserve">bespoke SHELL (not electrical guts)</t>
  </si>
  <si>
    <t xml:space="preserve">400 V BMS (traction)</t>
  </si>
  <si>
    <t xml:space="preserve">Ewert / Nuvation</t>
  </si>
  <si>
    <t xml:space="preserve">Orion BMS 2 / Nuvation HV</t>
  </si>
  <si>
    <t xml:space="preserve">~130S, configurable</t>
  </si>
  <si>
    <t xml:space="preserve">400 V</t>
  </si>
  <si>
    <t xml:space="preserve">Builder-accessible</t>
  </si>
  <si>
    <t xml:space="preserve">V1 pick; needs sodium SOC profile</t>
  </si>
  <si>
    <t xml:space="preserve">orionbms.com</t>
  </si>
  <si>
    <t xml:space="preserve">Cell-maker integrated</t>
  </si>
  <si>
    <t xml:space="preserve">CATL/BYD module BMS</t>
  </si>
  <si>
    <t xml:space="preserve">torque-spec, integrated</t>
  </si>
  <si>
    <t xml:space="preserve">OEM-tier</t>
  </si>
  <si>
    <t xml:space="preserve">PREFERRED for HV when accessible</t>
  </si>
  <si>
    <t xml:space="preserve">most integrated</t>
  </si>
  <si>
    <t xml:space="preserve">48 V BMS (house)</t>
  </si>
  <si>
    <t xml:space="preserve">Ewert / REC / Batrium</t>
  </si>
  <si>
    <t xml:space="preserve">Orion Jr / REC</t>
  </si>
  <si>
    <t xml:space="preserve">~15S</t>
  </si>
  <si>
    <t xml:space="preserve">48 V</t>
  </si>
  <si>
    <t xml:space="preserve">small</t>
  </si>
  <si>
    <t xml:space="preserve">DC-DC (bidirectional)</t>
  </si>
  <si>
    <t xml:space="preserve">B/A</t>
  </si>
  <si>
    <t xml:space="preserve">Vicor</t>
  </si>
  <si>
    <t xml:space="preserve">BCM (modular)</t>
  </si>
  <si>
    <t xml:space="preserve">~10 kW, 400&lt;-&gt;48 V</t>
  </si>
  <si>
    <t xml:space="preserve">400/48 V</t>
  </si>
  <si>
    <t xml:space="preserve">Modules sold</t>
  </si>
  <si>
    <t xml:space="preserve">Matches stackable design; spans 800V V2</t>
  </si>
  <si>
    <t xml:space="preserve">Eaton/Delta/Inovance alt</t>
  </si>
  <si>
    <t xml:space="preserve">PYRO FUSE (HV disconnect)</t>
  </si>
  <si>
    <t xml:space="preserve">Littelfuse / Eaton / Sinofuse</t>
  </si>
  <si>
    <t xml:space="preserve">EV pyrofuse</t>
  </si>
  <si>
    <t xml:space="preserve">crash/fault isolation</t>
  </si>
  <si>
    <t xml:space="preserve">Distributor</t>
  </si>
  <si>
    <t xml:space="preserve">V1 pick (Autoliv PSS = Tesla-proven ref)</t>
  </si>
  <si>
    <t xml:space="preserve">safety keystone</t>
  </si>
  <si>
    <t xml:space="preserve">HV BRANCH FUSES</t>
  </si>
  <si>
    <t xml:space="preserve">Eaton Bussmann / Mersen</t>
  </si>
  <si>
    <t xml:space="preserve">class-T / EV fuse</t>
  </si>
  <si>
    <t xml:space="preserve">per-branch</t>
  </si>
  <si>
    <t xml:space="preserve">Off-the-shelf</t>
  </si>
  <si>
    <t xml:space="preserve">Adopt</t>
  </si>
  <si>
    <t xml:space="preserve">COPPER BUSBARS</t>
  </si>
  <si>
    <t xml:space="preserve">A/C</t>
  </si>
  <si>
    <t xml:space="preserve">Cell-maker / Mersen / Amphenol</t>
  </si>
  <si>
    <t xml:space="preserve">laminated busbars / BarKlip</t>
  </si>
  <si>
    <t xml:space="preserve">torque-spec interconnect</t>
  </si>
  <si>
    <t xml:space="preserve">Fab or OEM</t>
  </si>
  <si>
    <t xml:space="preserve">Cell-maker preferred (torque-spec)</t>
  </si>
  <si>
    <t xml:space="preserve">HV-quality critical</t>
  </si>
  <si>
    <t xml:space="preserve">HV CONNECTORS</t>
  </si>
  <si>
    <t xml:space="preserve">Amphenol</t>
  </si>
  <si>
    <t xml:space="preserve">SurLok Plus / BarKlip (RADSOK)</t>
  </si>
  <si>
    <t xml:space="preserve">1000/1500V, 50-500A</t>
  </si>
  <si>
    <t xml:space="preserve">Distributor (Newark etc.)</t>
  </si>
  <si>
    <t xml:space="preserve">Adopt; TE/Rosenberger/Staubli alt</t>
  </si>
  <si>
    <t xml:space="preserve">not bespoke</t>
  </si>
  <si>
    <t xml:space="preserve">48 V CONNECTORS</t>
  </si>
  <si>
    <t xml:space="preserve">TE / Anderson</t>
  </si>
  <si>
    <t xml:space="preserve">HALVONEX / Heavy-Duty / Powerpole</t>
  </si>
  <si>
    <t xml:space="preserve">sealed, to 400A</t>
  </si>
  <si>
    <t xml:space="preserve">Adopt (from Electrical track)</t>
  </si>
  <si>
    <t xml:space="preserve">HV CHARGE INLET -&gt; PACK</t>
  </si>
  <si>
    <t xml:space="preserve">charge|mate NACS (+ MCS-ready)</t>
  </si>
  <si>
    <t xml:space="preserve">NACS ~250kW V1</t>
  </si>
  <si>
    <t xml:space="preserve">NACS V1 pick; MCS inlet provisioned</t>
  </si>
  <si>
    <t xml:space="preserve">charge|mate CCS2+MCS for V2</t>
  </si>
  <si>
    <t xml:space="preserve">Staubli / Rosenberger</t>
  </si>
  <si>
    <t xml:space="preserve">MCS inlet</t>
  </si>
  <si>
    <t xml:space="preserve">~1 MW, liquid-cooled</t>
  </si>
  <si>
    <t xml:space="preserve">Emerging</t>
  </si>
  <si>
    <t xml:space="preserve">MCS-ready provision</t>
  </si>
  <si>
    <t xml:space="preserve">MCS early (2026)</t>
  </si>
  <si>
    <t xml:space="preserve">HV CHARGE CABLE</t>
  </si>
  <si>
    <t xml:space="preserve">Amphenol TPI / TE</t>
  </si>
  <si>
    <t xml:space="preserve">HV cable assembly</t>
  </si>
  <si>
    <t xml:space="preserve">shielded, rated</t>
  </si>
  <si>
    <t xml:space="preserve">CONTACTORS + PRE-CHARGE</t>
  </si>
  <si>
    <t xml:space="preserve">Gigavac / TE Kilovac</t>
  </si>
  <si>
    <t xml:space="preserve">HV contactors + pre-charge</t>
  </si>
  <si>
    <t xml:space="preserve">make/break</t>
  </si>
  <si>
    <t xml:space="preserve">Sensata alt</t>
  </si>
  <si>
    <t xml:space="preserve">IMD (insulation monitor)</t>
  </si>
  <si>
    <t xml:space="preserve">Bender</t>
  </si>
  <si>
    <t xml:space="preserve">IMD</t>
  </si>
  <si>
    <t xml:space="preserve">continuous HV isolation watch</t>
  </si>
  <si>
    <t xml:space="preserve">COLD-PLATE COOLING</t>
  </si>
  <si>
    <t xml:space="preserve">(fab) + thermal loop</t>
  </si>
  <si>
    <t xml:space="preserve">bottom cold-plate</t>
  </si>
  <si>
    <t xml:space="preserve">gentle conditioning only</t>
  </si>
  <si>
    <t xml:space="preserve">glycol</t>
  </si>
  <si>
    <t xml:space="preserve">Fab / source</t>
  </si>
  <si>
    <t xml:space="preserve">Sodium needs no tight TMS - simple plate</t>
  </si>
  <si>
    <t xml:space="preserve">off the thermal loop</t>
  </si>
  <si>
    <t xml:space="preserve">V1 BATTERY SYSTEM - indicative total (sum of V1 picks):</t>
  </si>
  <si>
    <t xml:space="preserve">Cross-check vs BOM Energy&amp;electrical line</t>
  </si>
  <si>
    <t xml:space="preserve">House BUS - Battery System: Decision &amp; V2 Roadmap</t>
  </si>
  <si>
    <t xml:space="preserve">PACK: ~330 kWh sodium DUAL-DOMAIN - 300 kWh @ 400V (traction) + 30 kWh @ 48V (house), both BMS sealed inside one STRUCTURAL enclosure, linked by a bidirectional DC-DC. Range floor 245 mi (add-on-top). Single-layer footprint ~11 m^2, fits the 25-27 ft floor (Structure 6c).</t>
  </si>
  <si>
    <t xml:space="preserve">BESPOKE SHELL + OEM-GRADE GUTS: the structural enclosure is roboformed (Machina Labs-style, dieless) to handle the wheel-well-notched geometry with no welding; the ELECTRICAL internals (cells, busbars, BMS, HV connectors, protection) are NOT bespoke.</t>
  </si>
  <si>
    <t xml:space="preserve">HV-QUALITY PRINCIPLE (governing): prefer manufacturer-integrated, torque-spec'd HV parts sourced WITH the cells (copper busbars, voltage protection, tightly-integrated BMS) over bespoke connections - HV packs demand top quality. So Tier C (manufacturer-integrated) is the PREFERRED target for HV-critical parts, gated on channel-reach (OEM-tier, like the cells); Tier B third-party is the buildable-now V1 path.</t>
  </si>
  <si>
    <t xml:space="preserve">SODIUM THERMAL RELAXATION: no Li-plating/dendrite failure mode + -40/+70 C -&gt; a simple BOTTOM-PLATE cold-plate off the thermal loop is enough (no cell-to-cell intercooling). Cycle life ~10k now, path to ~15-20k. Light demand on the thermal core.</t>
  </si>
  <si>
    <t xml:space="preserve">V1 PICKS (buildable now): Chinese sodium prismatic cells (MOQ 1-4), roboformed shell, Orion BMS 2 (+Jr), Vicor BCM DC-DC, Littelfuse/Eaton/Sinofuse pyrofuse, Amphenol SurLok HV connectors + charge|mate NACS inlet, TE/Anderson 48V, Gigavac contactors, Bender IMD, bottom cold-plate. Indicative ~$35-70k (cells dominate). Cross-check vs BOM Energy&amp;electrical line.</t>
  </si>
  <si>
    <t xml:space="preserve">V2 HEADROOM (design-in now): (1) 800 V pack - reconfigure to ~260S; Nuvation BMS + Vicor BCM already span it; (2) MCS inlet as the standard matures (provision cabling now); (3) denser/cheaper drop-in cells as sodium price falls below LFP and density climbs (~+5%/2yr); (4) bidirectional DC-DC enables V2G later.</t>
  </si>
  <si>
    <t xml:space="preserve">OPEN before build: automotive-grade vs BESS-grade cell access; sodium SOC profiling of the BMS; enclosure crash/fire validation; exact cell + S/P config; manufacturer-integrated HV kit access (channel reach).</t>
  </si>
  <si>
    <t xml:space="preserve">Source</t>
  </si>
  <si>
    <t xml:space="preserve">URL</t>
  </si>
  <si>
    <t xml:space="preserve">Sodium makers 2026</t>
  </si>
  <si>
    <t xml:space="preserve">https://sodiumbatteryhub.com/2026/06/03/top-10-global-sodium-ion-battery-manufacturers-in-2026/</t>
  </si>
  <si>
    <t xml:space="preserve">CATL Naxtra commercial-vehicle 2026</t>
  </si>
  <si>
    <t xml:space="preserve">https://chargedevs.com/newswire/catl-to-deploy-sodium-ion-ev-batteries-at-commercial-scale-in-2026/</t>
  </si>
  <si>
    <t xml:space="preserve">Sodium prismatic cells MOQ 1-4</t>
  </si>
  <si>
    <t xml:space="preserve">https://www.energy-storage.news/sodium-ion-for-bess-chemistries-and-battery-products-from-catl-envision-byd-hithium-hina-compared/</t>
  </si>
  <si>
    <t xml:space="preserve">Orion BMS 2 (Ewert)</t>
  </si>
  <si>
    <t xml:space="preserve">https://www.orionbms.com/products/orion-bms-standard/</t>
  </si>
  <si>
    <t xml:space="preserve">Nuvation HV-BMS to 1500V</t>
  </si>
  <si>
    <t xml:space="preserve">https://nuvationenergy.com/battery-management-systems/high-voltage-battery-management-system/</t>
  </si>
  <si>
    <t xml:space="preserve">Vicor HV-to-48V modules</t>
  </si>
  <si>
    <t xml:space="preserve">https://www.vicorpower.com/industries-and-innovations/vicor-48v/hv-to-48v</t>
  </si>
  <si>
    <t xml:space="preserve">Pyrofuse makers</t>
  </si>
  <si>
    <t xml:space="preserve">https://www.hiitio.com/global-top-10-pyro-fuse-manufacturers/</t>
  </si>
  <si>
    <t xml:space="preserve">Amphenol SurLok Plus HV connector</t>
  </si>
  <si>
    <t xml:space="preserve">https://amphenol-industrial.com/products/surlok-plus/</t>
  </si>
  <si>
    <t xml:space="preserve">Amphenol charge|mate NACS/MCS</t>
  </si>
  <si>
    <t xml:space="preserve">https://www.amphenol.com/search/nacs</t>
  </si>
  <si>
    <t xml:space="preserve">Amphenol TPI HV cable</t>
  </si>
  <si>
    <t xml:space="preserve">https://www.tpil.com/product/ev-hev-cable-assemblies/</t>
  </si>
  <si>
    <t xml:space="preserve">Machina Labs roboforming</t>
  </si>
  <si>
    <t xml:space="preserve">https://machinalabs.ai/capabilities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</si>
</sst>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833C0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833C0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5"/>
    <col collapsed="false" customWidth="true" hidden="false" outlineLevel="0" max="3" min="3" style="1" width="16"/>
    <col collapsed="false" customWidth="true" hidden="false" outlineLevel="0" max="4" min="4" style="1" width="19"/>
    <col collapsed="false" customWidth="true" hidden="false" outlineLevel="0" max="5" min="5" style="1" width="20"/>
    <col collapsed="false" customWidth="true" hidden="false" outlineLevel="0" max="6" min="6" style="1" width="15"/>
    <col collapsed="false" customWidth="true" hidden="false" outlineLevel="0" max="8" min="7" style="1" width="11"/>
    <col collapsed="false" customWidth="true" hidden="false" outlineLevel="0" max="9" min="9" style="1" width="17"/>
    <col collapsed="false" customWidth="true" hidden="false" outlineLevel="0" max="10" min="10" style="1" width="20"/>
    <col collapsed="false" customWidth="true" hidden="false" outlineLevel="0" max="11" min="11" style="1" width="7"/>
    <col collapsed="false" customWidth="true" hidden="false" outlineLevel="0" max="12" min="12" style="1" width="3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3" t="s">
        <v>3</v>
      </c>
    </row>
    <row r="6" customFormat="false" ht="23.25" hidden="false" customHeight="true" outlineLevel="0" collapsed="false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</row>
    <row r="7" customFormat="false" ht="15" hidden="false" customHeight="true" outlineLevel="0" collapsed="false">
      <c r="A7" s="5" t="s">
        <v>16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customFormat="false" ht="21.75" hidden="false" customHeight="true" outlineLevel="0" collapsed="false">
      <c r="A8" s="7"/>
      <c r="B8" s="7" t="s">
        <v>17</v>
      </c>
      <c r="C8" s="7" t="s">
        <v>18</v>
      </c>
      <c r="D8" s="7" t="s">
        <v>19</v>
      </c>
      <c r="E8" s="7" t="s">
        <v>20</v>
      </c>
      <c r="F8" s="7" t="s">
        <v>21</v>
      </c>
      <c r="G8" s="7" t="n">
        <v>24000</v>
      </c>
      <c r="H8" s="7" t="n">
        <v>38000</v>
      </c>
      <c r="I8" s="7" t="s">
        <v>22</v>
      </c>
      <c r="J8" s="7" t="s">
        <v>23</v>
      </c>
      <c r="K8" s="8" t="s">
        <v>24</v>
      </c>
      <c r="L8" s="7" t="s">
        <v>25</v>
      </c>
    </row>
    <row r="9" customFormat="false" ht="21.75" hidden="false" customHeight="true" outlineLevel="0" collapsed="false">
      <c r="A9" s="9"/>
      <c r="B9" s="9" t="s">
        <v>26</v>
      </c>
      <c r="C9" s="9" t="s">
        <v>27</v>
      </c>
      <c r="D9" s="9" t="s">
        <v>28</v>
      </c>
      <c r="E9" s="9" t="s">
        <v>29</v>
      </c>
      <c r="F9" s="9" t="s">
        <v>21</v>
      </c>
      <c r="G9" s="9"/>
      <c r="H9" s="9"/>
      <c r="I9" s="9" t="s">
        <v>30</v>
      </c>
      <c r="J9" s="9" t="s">
        <v>31</v>
      </c>
      <c r="K9" s="9"/>
      <c r="L9" s="9" t="s">
        <v>32</v>
      </c>
    </row>
    <row r="10" customFormat="false" ht="21.75" hidden="false" customHeight="true" outlineLevel="0" collapsed="false">
      <c r="A10" s="9"/>
      <c r="B10" s="9" t="s">
        <v>33</v>
      </c>
      <c r="C10" s="9" t="s">
        <v>34</v>
      </c>
      <c r="D10" s="9" t="s">
        <v>35</v>
      </c>
      <c r="E10" s="9" t="s">
        <v>36</v>
      </c>
      <c r="F10" s="9" t="s">
        <v>37</v>
      </c>
      <c r="G10" s="9"/>
      <c r="H10" s="9"/>
      <c r="I10" s="9" t="s">
        <v>37</v>
      </c>
      <c r="J10" s="9" t="s">
        <v>38</v>
      </c>
      <c r="K10" s="9"/>
      <c r="L10" s="9" t="s">
        <v>39</v>
      </c>
    </row>
    <row r="11" customFormat="false" ht="15" hidden="false" customHeight="true" outlineLevel="0" collapsed="false">
      <c r="A11" s="5" t="s">
        <v>40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customFormat="false" ht="21.75" hidden="false" customHeight="true" outlineLevel="0" collapsed="false">
      <c r="A12" s="7"/>
      <c r="B12" s="7" t="s">
        <v>41</v>
      </c>
      <c r="C12" s="7" t="s">
        <v>42</v>
      </c>
      <c r="D12" s="7" t="s">
        <v>43</v>
      </c>
      <c r="E12" s="7" t="s">
        <v>44</v>
      </c>
      <c r="F12" s="7" t="s">
        <v>45</v>
      </c>
      <c r="G12" s="7" t="n">
        <v>5000</v>
      </c>
      <c r="H12" s="7" t="n">
        <v>15000</v>
      </c>
      <c r="I12" s="7" t="s">
        <v>46</v>
      </c>
      <c r="J12" s="7" t="s">
        <v>47</v>
      </c>
      <c r="K12" s="8" t="s">
        <v>24</v>
      </c>
      <c r="L12" s="7" t="s">
        <v>48</v>
      </c>
    </row>
    <row r="13" customFormat="false" ht="15" hidden="false" customHeight="true" outlineLevel="0" collapsed="false">
      <c r="A13" s="5" t="s">
        <v>49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21.75" hidden="false" customHeight="true" outlineLevel="0" collapsed="false">
      <c r="A14" s="7"/>
      <c r="B14" s="7" t="s">
        <v>17</v>
      </c>
      <c r="C14" s="7" t="s">
        <v>50</v>
      </c>
      <c r="D14" s="7" t="s">
        <v>51</v>
      </c>
      <c r="E14" s="7" t="s">
        <v>52</v>
      </c>
      <c r="F14" s="7" t="s">
        <v>53</v>
      </c>
      <c r="G14" s="7" t="n">
        <v>1500</v>
      </c>
      <c r="H14" s="7" t="n">
        <v>3500</v>
      </c>
      <c r="I14" s="7" t="s">
        <v>54</v>
      </c>
      <c r="J14" s="7" t="s">
        <v>55</v>
      </c>
      <c r="K14" s="8" t="s">
        <v>24</v>
      </c>
      <c r="L14" s="7" t="s">
        <v>56</v>
      </c>
    </row>
    <row r="15" customFormat="false" ht="21.75" hidden="false" customHeight="true" outlineLevel="0" collapsed="false">
      <c r="A15" s="9"/>
      <c r="B15" s="9" t="s">
        <v>26</v>
      </c>
      <c r="C15" s="9" t="s">
        <v>57</v>
      </c>
      <c r="D15" s="9" t="s">
        <v>58</v>
      </c>
      <c r="E15" s="9" t="s">
        <v>59</v>
      </c>
      <c r="F15" s="9" t="s">
        <v>53</v>
      </c>
      <c r="G15" s="9"/>
      <c r="H15" s="9"/>
      <c r="I15" s="9" t="s">
        <v>60</v>
      </c>
      <c r="J15" s="9" t="s">
        <v>61</v>
      </c>
      <c r="K15" s="9"/>
      <c r="L15" s="9" t="s">
        <v>62</v>
      </c>
    </row>
    <row r="16" customFormat="false" ht="15" hidden="false" customHeight="true" outlineLevel="0" collapsed="false">
      <c r="A16" s="5" t="s">
        <v>63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customFormat="false" ht="21.75" hidden="false" customHeight="true" outlineLevel="0" collapsed="false">
      <c r="A17" s="7"/>
      <c r="B17" s="7" t="s">
        <v>17</v>
      </c>
      <c r="C17" s="7" t="s">
        <v>64</v>
      </c>
      <c r="D17" s="7" t="s">
        <v>65</v>
      </c>
      <c r="E17" s="7" t="s">
        <v>66</v>
      </c>
      <c r="F17" s="7" t="s">
        <v>67</v>
      </c>
      <c r="G17" s="7" t="n">
        <v>300</v>
      </c>
      <c r="H17" s="7" t="n">
        <v>800</v>
      </c>
      <c r="I17" s="7" t="s">
        <v>54</v>
      </c>
      <c r="J17" s="7" t="s">
        <v>14</v>
      </c>
      <c r="K17" s="8" t="s">
        <v>24</v>
      </c>
      <c r="L17" s="7" t="s">
        <v>68</v>
      </c>
    </row>
    <row r="18" customFormat="false" ht="15" hidden="false" customHeight="true" outlineLevel="0" collapsed="false">
      <c r="A18" s="5" t="s">
        <v>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21.75" hidden="false" customHeight="true" outlineLevel="0" collapsed="false">
      <c r="A19" s="7"/>
      <c r="B19" s="7" t="s">
        <v>70</v>
      </c>
      <c r="C19" s="7" t="s">
        <v>71</v>
      </c>
      <c r="D19" s="7" t="s">
        <v>72</v>
      </c>
      <c r="E19" s="7" t="s">
        <v>73</v>
      </c>
      <c r="F19" s="7" t="s">
        <v>74</v>
      </c>
      <c r="G19" s="7" t="n">
        <v>2000</v>
      </c>
      <c r="H19" s="7" t="n">
        <v>5000</v>
      </c>
      <c r="I19" s="7" t="s">
        <v>75</v>
      </c>
      <c r="J19" s="7" t="s">
        <v>76</v>
      </c>
      <c r="K19" s="8" t="s">
        <v>24</v>
      </c>
      <c r="L19" s="7" t="s">
        <v>77</v>
      </c>
    </row>
    <row r="20" customFormat="false" ht="15" hidden="false" customHeight="true" outlineLevel="0" collapsed="false">
      <c r="A20" s="5" t="s">
        <v>78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customFormat="false" ht="21.75" hidden="false" customHeight="true" outlineLevel="0" collapsed="false">
      <c r="A21" s="7"/>
      <c r="B21" s="7" t="s">
        <v>17</v>
      </c>
      <c r="C21" s="7" t="s">
        <v>79</v>
      </c>
      <c r="D21" s="7" t="s">
        <v>80</v>
      </c>
      <c r="E21" s="7" t="s">
        <v>81</v>
      </c>
      <c r="F21" s="7" t="s">
        <v>53</v>
      </c>
      <c r="G21" s="7" t="n">
        <v>100</v>
      </c>
      <c r="H21" s="7" t="n">
        <v>300</v>
      </c>
      <c r="I21" s="7" t="s">
        <v>82</v>
      </c>
      <c r="J21" s="7" t="s">
        <v>83</v>
      </c>
      <c r="K21" s="8" t="s">
        <v>24</v>
      </c>
      <c r="L21" s="7" t="s">
        <v>84</v>
      </c>
    </row>
    <row r="22" customFormat="false" ht="15" hidden="false" customHeight="true" outlineLevel="0" collapsed="false">
      <c r="A22" s="5" t="s">
        <v>85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21.75" hidden="false" customHeight="true" outlineLevel="0" collapsed="false">
      <c r="A23" s="7"/>
      <c r="B23" s="7" t="s">
        <v>17</v>
      </c>
      <c r="C23" s="7" t="s">
        <v>86</v>
      </c>
      <c r="D23" s="7" t="s">
        <v>87</v>
      </c>
      <c r="E23" s="7" t="s">
        <v>88</v>
      </c>
      <c r="F23" s="7" t="s">
        <v>53</v>
      </c>
      <c r="G23" s="7" t="n">
        <v>100</v>
      </c>
      <c r="H23" s="7" t="n">
        <v>400</v>
      </c>
      <c r="I23" s="7" t="s">
        <v>89</v>
      </c>
      <c r="J23" s="7" t="s">
        <v>90</v>
      </c>
      <c r="K23" s="8" t="s">
        <v>24</v>
      </c>
      <c r="L23" s="7" t="s">
        <v>37</v>
      </c>
    </row>
    <row r="24" customFormat="false" ht="15" hidden="false" customHeight="true" outlineLevel="0" collapsed="false">
      <c r="A24" s="5" t="s">
        <v>91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21.75" hidden="false" customHeight="true" outlineLevel="0" collapsed="false">
      <c r="A25" s="7"/>
      <c r="B25" s="7" t="s">
        <v>92</v>
      </c>
      <c r="C25" s="7" t="s">
        <v>93</v>
      </c>
      <c r="D25" s="7" t="s">
        <v>94</v>
      </c>
      <c r="E25" s="7" t="s">
        <v>95</v>
      </c>
      <c r="F25" s="7" t="s">
        <v>53</v>
      </c>
      <c r="G25" s="7" t="n">
        <v>300</v>
      </c>
      <c r="H25" s="7" t="n">
        <v>1000</v>
      </c>
      <c r="I25" s="7" t="s">
        <v>96</v>
      </c>
      <c r="J25" s="7" t="s">
        <v>97</v>
      </c>
      <c r="K25" s="8" t="s">
        <v>24</v>
      </c>
      <c r="L25" s="7" t="s">
        <v>98</v>
      </c>
    </row>
    <row r="26" customFormat="false" ht="15" hidden="false" customHeight="true" outlineLevel="0" collapsed="false">
      <c r="A26" s="5" t="s">
        <v>99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customFormat="false" ht="32.25" hidden="false" customHeight="true" outlineLevel="0" collapsed="false">
      <c r="A27" s="7"/>
      <c r="B27" s="7" t="s">
        <v>17</v>
      </c>
      <c r="C27" s="7" t="s">
        <v>100</v>
      </c>
      <c r="D27" s="7" t="s">
        <v>101</v>
      </c>
      <c r="E27" s="7" t="s">
        <v>102</v>
      </c>
      <c r="F27" s="7" t="s">
        <v>53</v>
      </c>
      <c r="G27" s="7" t="n">
        <v>300</v>
      </c>
      <c r="H27" s="7" t="n">
        <v>1200</v>
      </c>
      <c r="I27" s="7" t="s">
        <v>103</v>
      </c>
      <c r="J27" s="7" t="s">
        <v>104</v>
      </c>
      <c r="K27" s="8" t="s">
        <v>24</v>
      </c>
      <c r="L27" s="7" t="s">
        <v>105</v>
      </c>
    </row>
    <row r="28" customFormat="false" ht="15" hidden="false" customHeight="true" outlineLevel="0" collapsed="false">
      <c r="A28" s="5" t="s">
        <v>106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21.75" hidden="false" customHeight="true" outlineLevel="0" collapsed="false">
      <c r="A29" s="7"/>
      <c r="B29" s="7" t="s">
        <v>17</v>
      </c>
      <c r="C29" s="7" t="s">
        <v>107</v>
      </c>
      <c r="D29" s="7" t="s">
        <v>108</v>
      </c>
      <c r="E29" s="7" t="s">
        <v>109</v>
      </c>
      <c r="F29" s="7" t="s">
        <v>67</v>
      </c>
      <c r="G29" s="7" t="n">
        <v>200</v>
      </c>
      <c r="H29" s="7" t="n">
        <v>600</v>
      </c>
      <c r="I29" s="7" t="s">
        <v>82</v>
      </c>
      <c r="J29" s="7" t="s">
        <v>110</v>
      </c>
      <c r="K29" s="8" t="s">
        <v>24</v>
      </c>
      <c r="L29" s="7" t="s">
        <v>37</v>
      </c>
    </row>
    <row r="30" customFormat="false" ht="15" hidden="false" customHeight="true" outlineLevel="0" collapsed="false">
      <c r="A30" s="5" t="s">
        <v>111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customFormat="false" ht="21.75" hidden="false" customHeight="true" outlineLevel="0" collapsed="false">
      <c r="A31" s="7"/>
      <c r="B31" s="7" t="s">
        <v>17</v>
      </c>
      <c r="C31" s="7" t="s">
        <v>100</v>
      </c>
      <c r="D31" s="7" t="s">
        <v>112</v>
      </c>
      <c r="E31" s="7" t="s">
        <v>113</v>
      </c>
      <c r="F31" s="7" t="s">
        <v>53</v>
      </c>
      <c r="G31" s="7" t="n">
        <v>300</v>
      </c>
      <c r="H31" s="7" t="n">
        <v>800</v>
      </c>
      <c r="I31" s="7" t="s">
        <v>82</v>
      </c>
      <c r="J31" s="7" t="s">
        <v>114</v>
      </c>
      <c r="K31" s="8" t="s">
        <v>24</v>
      </c>
      <c r="L31" s="7" t="s">
        <v>115</v>
      </c>
    </row>
    <row r="32" customFormat="false" ht="21.75" hidden="false" customHeight="true" outlineLevel="0" collapsed="false">
      <c r="A32" s="9"/>
      <c r="B32" s="9" t="s">
        <v>26</v>
      </c>
      <c r="C32" s="9" t="s">
        <v>116</v>
      </c>
      <c r="D32" s="9" t="s">
        <v>117</v>
      </c>
      <c r="E32" s="9" t="s">
        <v>118</v>
      </c>
      <c r="F32" s="9" t="s">
        <v>53</v>
      </c>
      <c r="G32" s="9" t="n">
        <v>1000</v>
      </c>
      <c r="H32" s="9" t="n">
        <v>3000</v>
      </c>
      <c r="I32" s="9" t="s">
        <v>119</v>
      </c>
      <c r="J32" s="9" t="s">
        <v>120</v>
      </c>
      <c r="K32" s="9"/>
      <c r="L32" s="9" t="s">
        <v>121</v>
      </c>
    </row>
    <row r="33" customFormat="false" ht="15" hidden="false" customHeight="true" outlineLevel="0" collapsed="false">
      <c r="A33" s="5" t="s">
        <v>122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customFormat="false" ht="15" hidden="false" customHeight="true" outlineLevel="0" collapsed="false">
      <c r="A34" s="7"/>
      <c r="B34" s="7" t="s">
        <v>17</v>
      </c>
      <c r="C34" s="7" t="s">
        <v>123</v>
      </c>
      <c r="D34" s="7" t="s">
        <v>124</v>
      </c>
      <c r="E34" s="7" t="s">
        <v>125</v>
      </c>
      <c r="F34" s="7" t="s">
        <v>53</v>
      </c>
      <c r="G34" s="7" t="n">
        <v>200</v>
      </c>
      <c r="H34" s="7" t="n">
        <v>800</v>
      </c>
      <c r="I34" s="7" t="s">
        <v>82</v>
      </c>
      <c r="J34" s="7" t="s">
        <v>90</v>
      </c>
      <c r="K34" s="8" t="s">
        <v>24</v>
      </c>
      <c r="L34" s="7" t="s">
        <v>37</v>
      </c>
    </row>
    <row r="35" customFormat="false" ht="15" hidden="false" customHeight="true" outlineLevel="0" collapsed="false">
      <c r="A35" s="5" t="s">
        <v>126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customFormat="false" ht="21.75" hidden="false" customHeight="true" outlineLevel="0" collapsed="false">
      <c r="A36" s="7"/>
      <c r="B36" s="7" t="s">
        <v>17</v>
      </c>
      <c r="C36" s="7" t="s">
        <v>127</v>
      </c>
      <c r="D36" s="7" t="s">
        <v>128</v>
      </c>
      <c r="E36" s="7" t="s">
        <v>129</v>
      </c>
      <c r="F36" s="7" t="s">
        <v>53</v>
      </c>
      <c r="G36" s="7" t="n">
        <v>300</v>
      </c>
      <c r="H36" s="7" t="n">
        <v>800</v>
      </c>
      <c r="I36" s="7" t="s">
        <v>82</v>
      </c>
      <c r="J36" s="7" t="s">
        <v>90</v>
      </c>
      <c r="K36" s="8" t="s">
        <v>24</v>
      </c>
      <c r="L36" s="7" t="s">
        <v>130</v>
      </c>
    </row>
    <row r="37" customFormat="false" ht="15" hidden="false" customHeight="true" outlineLevel="0" collapsed="false">
      <c r="A37" s="5" t="s">
        <v>131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customFormat="false" ht="21.75" hidden="false" customHeight="true" outlineLevel="0" collapsed="false">
      <c r="A38" s="7"/>
      <c r="B38" s="7" t="s">
        <v>17</v>
      </c>
      <c r="C38" s="7" t="s">
        <v>132</v>
      </c>
      <c r="D38" s="7" t="s">
        <v>133</v>
      </c>
      <c r="E38" s="7" t="s">
        <v>134</v>
      </c>
      <c r="F38" s="7" t="s">
        <v>53</v>
      </c>
      <c r="G38" s="7" t="n">
        <v>300</v>
      </c>
      <c r="H38" s="7" t="n">
        <v>700</v>
      </c>
      <c r="I38" s="7" t="s">
        <v>82</v>
      </c>
      <c r="J38" s="7" t="s">
        <v>90</v>
      </c>
      <c r="K38" s="8" t="s">
        <v>24</v>
      </c>
      <c r="L38" s="7" t="s">
        <v>37</v>
      </c>
    </row>
    <row r="39" customFormat="false" ht="15" hidden="false" customHeight="true" outlineLevel="0" collapsed="false">
      <c r="A39" s="5" t="s">
        <v>135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21.75" hidden="false" customHeight="true" outlineLevel="0" collapsed="false">
      <c r="A40" s="7"/>
      <c r="B40" s="7" t="s">
        <v>41</v>
      </c>
      <c r="C40" s="7" t="s">
        <v>136</v>
      </c>
      <c r="D40" s="7" t="s">
        <v>137</v>
      </c>
      <c r="E40" s="7" t="s">
        <v>138</v>
      </c>
      <c r="F40" s="7" t="s">
        <v>139</v>
      </c>
      <c r="G40" s="7" t="n">
        <v>300</v>
      </c>
      <c r="H40" s="7" t="n">
        <v>900</v>
      </c>
      <c r="I40" s="7" t="s">
        <v>140</v>
      </c>
      <c r="J40" s="7" t="s">
        <v>141</v>
      </c>
      <c r="K40" s="8" t="s">
        <v>24</v>
      </c>
      <c r="L40" s="7" t="s">
        <v>142</v>
      </c>
    </row>
    <row r="42" customFormat="false" ht="15" hidden="false" customHeight="true" outlineLevel="0" collapsed="false">
      <c r="A42" s="10" t="s">
        <v>143</v>
      </c>
      <c r="B42" s="10"/>
      <c r="C42" s="10"/>
      <c r="D42" s="10"/>
      <c r="E42" s="10"/>
      <c r="F42" s="10"/>
      <c r="G42" s="11" t="n">
        <f aca="false">SUMIF(K7:K40,"Y",G7:G40)</f>
        <v>35200</v>
      </c>
      <c r="H42" s="11" t="n">
        <f aca="false">SUMIF(K7:K40,"Y",H7:H40)</f>
        <v>69800</v>
      </c>
      <c r="J42" s="3" t="s">
        <v>144</v>
      </c>
    </row>
  </sheetData>
  <mergeCells count="1"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2"/>
  </cols>
  <sheetData>
    <row r="1" customFormat="false" ht="17.25" hidden="false" customHeight="true" outlineLevel="0" collapsed="false">
      <c r="A1" s="12" t="s">
        <v>145</v>
      </c>
    </row>
    <row r="2" customFormat="false" ht="39" hidden="false" customHeight="true" outlineLevel="0" collapsed="false">
      <c r="A2" s="13" t="s">
        <v>146</v>
      </c>
    </row>
    <row r="3" customFormat="false" ht="23.25" hidden="false" customHeight="true" outlineLevel="0" collapsed="false">
      <c r="A3" s="14" t="s">
        <v>147</v>
      </c>
    </row>
    <row r="4" customFormat="false" ht="45.75" hidden="false" customHeight="true" outlineLevel="0" collapsed="false">
      <c r="A4" s="14" t="s">
        <v>148</v>
      </c>
    </row>
    <row r="5" customFormat="false" ht="23.25" hidden="false" customHeight="true" outlineLevel="0" collapsed="false">
      <c r="A5" s="14" t="s">
        <v>149</v>
      </c>
    </row>
    <row r="6" customFormat="false" ht="51.75" hidden="false" customHeight="true" outlineLevel="0" collapsed="false">
      <c r="A6" s="13" t="s">
        <v>150</v>
      </c>
    </row>
    <row r="7" customFormat="false" ht="34.5" hidden="false" customHeight="true" outlineLevel="0" collapsed="false">
      <c r="A7" s="14" t="s">
        <v>151</v>
      </c>
    </row>
    <row r="8" customFormat="false" ht="23.25" hidden="false" customHeight="true" outlineLevel="0" collapsed="false">
      <c r="A8" s="14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82"/>
  </cols>
  <sheetData>
    <row r="1" customFormat="false" ht="15" hidden="false" customHeight="true" outlineLevel="0" collapsed="false">
      <c r="A1" s="15" t="s">
        <v>153</v>
      </c>
      <c r="B1" s="15" t="s">
        <v>154</v>
      </c>
    </row>
    <row r="2" customFormat="false" ht="15" hidden="false" customHeight="true" outlineLevel="0" collapsed="false">
      <c r="A2" s="16" t="s">
        <v>155</v>
      </c>
      <c r="B2" s="17" t="s">
        <v>156</v>
      </c>
    </row>
    <row r="3" customFormat="false" ht="15" hidden="false" customHeight="true" outlineLevel="0" collapsed="false">
      <c r="A3" s="16" t="s">
        <v>157</v>
      </c>
      <c r="B3" s="17" t="s">
        <v>158</v>
      </c>
    </row>
    <row r="4" customFormat="false" ht="15" hidden="false" customHeight="true" outlineLevel="0" collapsed="false">
      <c r="A4" s="16" t="s">
        <v>159</v>
      </c>
      <c r="B4" s="17" t="s">
        <v>160</v>
      </c>
    </row>
    <row r="5" customFormat="false" ht="15" hidden="false" customHeight="true" outlineLevel="0" collapsed="false">
      <c r="A5" s="16" t="s">
        <v>161</v>
      </c>
      <c r="B5" s="17" t="s">
        <v>162</v>
      </c>
    </row>
    <row r="6" customFormat="false" ht="15" hidden="false" customHeight="true" outlineLevel="0" collapsed="false">
      <c r="A6" s="16" t="s">
        <v>163</v>
      </c>
      <c r="B6" s="17" t="s">
        <v>164</v>
      </c>
    </row>
    <row r="7" customFormat="false" ht="15" hidden="false" customHeight="true" outlineLevel="0" collapsed="false">
      <c r="A7" s="16" t="s">
        <v>165</v>
      </c>
      <c r="B7" s="17" t="s">
        <v>166</v>
      </c>
    </row>
    <row r="8" customFormat="false" ht="15" hidden="false" customHeight="true" outlineLevel="0" collapsed="false">
      <c r="A8" s="16" t="s">
        <v>167</v>
      </c>
      <c r="B8" s="17" t="s">
        <v>168</v>
      </c>
    </row>
    <row r="9" customFormat="false" ht="15" hidden="false" customHeight="true" outlineLevel="0" collapsed="false">
      <c r="A9" s="16" t="s">
        <v>169</v>
      </c>
      <c r="B9" s="17" t="s">
        <v>170</v>
      </c>
    </row>
    <row r="10" customFormat="false" ht="15" hidden="false" customHeight="true" outlineLevel="0" collapsed="false">
      <c r="A10" s="16" t="s">
        <v>171</v>
      </c>
      <c r="B10" s="17" t="s">
        <v>172</v>
      </c>
    </row>
    <row r="11" customFormat="false" ht="15" hidden="false" customHeight="true" outlineLevel="0" collapsed="false">
      <c r="A11" s="16" t="s">
        <v>173</v>
      </c>
      <c r="B11" s="17" t="s">
        <v>174</v>
      </c>
    </row>
    <row r="12" customFormat="false" ht="15" hidden="false" customHeight="true" outlineLevel="0" collapsed="false">
      <c r="A12" s="16" t="s">
        <v>175</v>
      </c>
      <c r="B12" s="17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2026-06-30T12:59:19Z</dcterms:created>
  <dc:creator>openpyxl</dc:creator>
  <dc:description/>
  <dc:language>en-US</dc:language>
  <cp:lastModifiedBy/>
  <dcterms:modified xsi:type="dcterms:W3CDTF">2026-06-30T12:59:40Z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