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ing" sheetId="1" state="visible" r:id="rId3"/>
    <sheet name="Decision &amp; V2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<sst xmlns="http://schemas.openxmlformats.org/spreadsheetml/2006/main" count="86" uniqueCount="74">
  <si>
    <t xml:space="preserve">House BUS - Water Sourcing Tracker (step 3)</t>
  </si>
  <si>
    <t xml:space="preserve">V2 bus. Adopt off-the-shelf; integrate the closed loop ourselves (Showerloop-led shower + condensate + urine-&gt;hydroponics brine bleed).</t>
  </si>
  <si>
    <t xml:space="preserve">Tier A=build/integrate | B=adopt off-the-shelf. Prices indicative.</t>
  </si>
  <si>
    <t xml:space="preserve">Component</t>
  </si>
  <si>
    <t xml:space="preserve">Tier</t>
  </si>
  <si>
    <t xml:space="preserve">Maker</t>
  </si>
  <si>
    <t xml:space="preserve">Model / part</t>
  </si>
  <si>
    <t xml:space="preserve">Key spec</t>
  </si>
  <si>
    <t xml:space="preserve">Price low ($)</t>
  </si>
  <si>
    <t xml:space="preserve">Price high ($)</t>
  </si>
  <si>
    <t xml:space="preserve">Fit verdict</t>
  </si>
  <si>
    <t xml:space="preserve">V1 pick</t>
  </si>
  <si>
    <t xml:space="preserve">Notes / source</t>
  </si>
  <si>
    <t xml:space="preserve">COMPOSTING TOILET + URINE SEP</t>
  </si>
  <si>
    <t xml:space="preserve">B</t>
  </si>
  <si>
    <t xml:space="preserve">Nature's Head / Separett / OGO</t>
  </si>
  <si>
    <t xml:space="preserve">urine-diverting composting WC</t>
  </si>
  <si>
    <t xml:space="preserve">fan; urine to tank</t>
  </si>
  <si>
    <t xml:space="preserve">adopt</t>
  </si>
  <si>
    <t xml:space="preserve">Y</t>
  </si>
  <si>
    <t xml:space="preserve">cruiser-proven</t>
  </si>
  <si>
    <t xml:space="preserve">RETICULATING SHOWER</t>
  </si>
  <si>
    <t xml:space="preserve">A/B</t>
  </si>
  <si>
    <t xml:space="preserve">Showerloop / Orbital / Hamwells</t>
  </si>
  <si>
    <t xml:space="preserve">real-time recycle+filter+UV+heat</t>
  </si>
  <si>
    <t xml:space="preserve">~10-15 gal loop</t>
  </si>
  <si>
    <t xml:space="preserve">Showerloop = open-source</t>
  </si>
  <si>
    <t xml:space="preserve">ethos fit; integrate</t>
  </si>
  <si>
    <t xml:space="preserve">WATER DISINFECTION (UV)</t>
  </si>
  <si>
    <t xml:space="preserve">Acuva (LED) / Viqua</t>
  </si>
  <si>
    <t xml:space="preserve">on-demand 12V UV</t>
  </si>
  <si>
    <t xml:space="preserve">point-of-use</t>
  </si>
  <si>
    <t xml:space="preserve">adopt (Acuva LED)</t>
  </si>
  <si>
    <t xml:space="preserve">instant, low power</t>
  </si>
  <si>
    <t xml:space="preserve">SALT BLEED (urine-&gt;hydro)</t>
  </si>
  <si>
    <t xml:space="preserve">A</t>
  </si>
  <si>
    <t xml:space="preserve">small RO / electrodialysis</t>
  </si>
  <si>
    <t xml:space="preserve">Na accumulation bleed</t>
  </si>
  <si>
    <t xml:space="preserve">brine out</t>
  </si>
  <si>
    <t xml:space="preserve">self-build integration</t>
  </si>
  <si>
    <t xml:space="preserve">MELiSSA throughline</t>
  </si>
  <si>
    <t xml:space="preserve">DC PUMPS</t>
  </si>
  <si>
    <t xml:space="preserve">Shurflo / Seaflo / Flojet</t>
  </si>
  <si>
    <t xml:space="preserve">12/24V DC pumps</t>
  </si>
  <si>
    <t xml:space="preserve">pressure + transfer</t>
  </si>
  <si>
    <t xml:space="preserve">standard RV/marine</t>
  </si>
  <si>
    <t xml:space="preserve">TANKS + RAINWATER</t>
  </si>
  <si>
    <t xml:space="preserve">SS drinking (fab) + poly grey + diverter</t>
  </si>
  <si>
    <t xml:space="preserve">drinking isolated; rainwater</t>
  </si>
  <si>
    <t xml:space="preserve">two-water</t>
  </si>
  <si>
    <t xml:space="preserve">adopt + fab tank</t>
  </si>
  <si>
    <t xml:space="preserve">external potable fill</t>
  </si>
  <si>
    <t xml:space="preserve">FILTRATION</t>
  </si>
  <si>
    <t xml:space="preserve">sediment + carbon</t>
  </si>
  <si>
    <t xml:space="preserve">pre-filter</t>
  </si>
  <si>
    <t xml:space="preserve">particulates</t>
  </si>
  <si>
    <t xml:space="preserve">-</t>
  </si>
  <si>
    <t xml:space="preserve">V1 PICKS - indicative total:</t>
  </si>
  <si>
    <t xml:space="preserve">House BUS - Water - Decision &amp; V2 Roadmap</t>
  </si>
  <si>
    <t xml:space="preserve">DECISION: adopt toilet/UV/pumps/tanks off-the-shelf; the value-add is the CLOSED-LOOP INTEGRATION - Showerloop (open-source) reticulating shower + condensate harvest + urine-&gt;hydroponics nutrient/brine management.</t>
  </si>
  <si>
    <t xml:space="preserve">Two-water principle (drinking isolated from wash). Condensate = washing only.</t>
  </si>
  <si>
    <t xml:space="preserve">Open: water-inventory sizing (sets bath/hydro footprint over the pack); Showerloop vs Orbital vs Hamwells; salt-bleed method; condensate plumbing + UV placement.</t>
  </si>
  <si>
    <t xml:space="preserve">Source</t>
  </si>
  <si>
    <t xml:space="preserve">URL</t>
  </si>
  <si>
    <t xml:space="preserve">Nature's Head</t>
  </si>
  <si>
    <t xml:space="preserve">https://natureshead.net/</t>
  </si>
  <si>
    <t xml:space="preserve">Separett</t>
  </si>
  <si>
    <t xml:space="preserve">https://separett.com/en/en/</t>
  </si>
  <si>
    <t xml:space="preserve">Showerloop (open-source)</t>
  </si>
  <si>
    <t xml:space="preserve">https://showerloop.org/</t>
  </si>
  <si>
    <t xml:space="preserve">Acuva UV-LED</t>
  </si>
  <si>
    <t xml:space="preserve">https://nomadicsupply.com/acuva-wanderer-2-0-12v-ac-dc-uv-led-water-purifier/</t>
  </si>
  <si>
    <t xml:space="preserve">Viqua 12VDC UV</t>
  </si>
  <si>
    <t xml:space="preserve">https://espwaterproducts.com/products/viqua-s2q-p-12vdc-uv-system-3-gpm-12vdc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</si>
</sst>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9" min="9" style="0" width="7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22.35" hidden="false" customHeight="false" outlineLevel="0" collapsed="false">
      <c r="A7" s="6"/>
      <c r="B7" s="6" t="s">
        <v>14</v>
      </c>
      <c r="C7" s="6" t="s">
        <v>15</v>
      </c>
      <c r="D7" s="6" t="s">
        <v>16</v>
      </c>
      <c r="E7" s="6" t="s">
        <v>17</v>
      </c>
      <c r="F7" s="6" t="n">
        <v>1000</v>
      </c>
      <c r="G7" s="6" t="n">
        <v>1500</v>
      </c>
      <c r="H7" s="6" t="s">
        <v>18</v>
      </c>
      <c r="I7" s="7" t="s">
        <v>19</v>
      </c>
      <c r="J7" s="6" t="s">
        <v>20</v>
      </c>
    </row>
    <row r="8" customFormat="false" ht="15" hidden="false" customHeight="false" outlineLevel="0" collapsed="false">
      <c r="A8" s="4" t="s">
        <v>21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22.35" hidden="false" customHeight="false" outlineLevel="0" collapsed="false">
      <c r="A9" s="6"/>
      <c r="B9" s="6" t="s">
        <v>22</v>
      </c>
      <c r="C9" s="6" t="s">
        <v>23</v>
      </c>
      <c r="D9" s="6" t="s">
        <v>24</v>
      </c>
      <c r="E9" s="6" t="s">
        <v>25</v>
      </c>
      <c r="F9" s="6" t="n">
        <v>1500</v>
      </c>
      <c r="G9" s="6" t="n">
        <v>5000</v>
      </c>
      <c r="H9" s="6" t="s">
        <v>26</v>
      </c>
      <c r="I9" s="7" t="s">
        <v>19</v>
      </c>
      <c r="J9" s="6" t="s">
        <v>27</v>
      </c>
    </row>
    <row r="10" customFormat="false" ht="15" hidden="false" customHeight="false" outlineLevel="0" collapsed="false">
      <c r="A10" s="4" t="s">
        <v>28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6"/>
      <c r="B11" s="6" t="s">
        <v>14</v>
      </c>
      <c r="C11" s="6" t="s">
        <v>29</v>
      </c>
      <c r="D11" s="6" t="s">
        <v>30</v>
      </c>
      <c r="E11" s="6" t="s">
        <v>31</v>
      </c>
      <c r="F11" s="6" t="n">
        <v>400</v>
      </c>
      <c r="G11" s="6" t="n">
        <v>1200</v>
      </c>
      <c r="H11" s="6" t="s">
        <v>32</v>
      </c>
      <c r="I11" s="7" t="s">
        <v>19</v>
      </c>
      <c r="J11" s="6" t="s">
        <v>33</v>
      </c>
    </row>
    <row r="12" customFormat="false" ht="15" hidden="false" customHeight="false" outlineLevel="0" collapsed="false">
      <c r="A12" s="4" t="s">
        <v>34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22.35" hidden="false" customHeight="false" outlineLevel="0" collapsed="false">
      <c r="A13" s="6"/>
      <c r="B13" s="6" t="s">
        <v>35</v>
      </c>
      <c r="C13" s="6" t="s">
        <v>36</v>
      </c>
      <c r="D13" s="6" t="s">
        <v>37</v>
      </c>
      <c r="E13" s="6" t="s">
        <v>38</v>
      </c>
      <c r="F13" s="6" t="n">
        <v>500</v>
      </c>
      <c r="G13" s="6" t="n">
        <v>2000</v>
      </c>
      <c r="H13" s="6" t="s">
        <v>39</v>
      </c>
      <c r="I13" s="7" t="s">
        <v>19</v>
      </c>
      <c r="J13" s="6" t="s">
        <v>40</v>
      </c>
    </row>
    <row r="14" customFormat="false" ht="15" hidden="false" customHeight="false" outlineLevel="0" collapsed="false">
      <c r="A14" s="4" t="s">
        <v>41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22.35" hidden="false" customHeight="false" outlineLevel="0" collapsed="false">
      <c r="A15" s="6"/>
      <c r="B15" s="6" t="s">
        <v>14</v>
      </c>
      <c r="C15" s="6" t="s">
        <v>42</v>
      </c>
      <c r="D15" s="6" t="s">
        <v>43</v>
      </c>
      <c r="E15" s="6" t="s">
        <v>44</v>
      </c>
      <c r="F15" s="6" t="n">
        <v>150</v>
      </c>
      <c r="G15" s="6" t="n">
        <v>500</v>
      </c>
      <c r="H15" s="6" t="s">
        <v>18</v>
      </c>
      <c r="I15" s="7" t="s">
        <v>19</v>
      </c>
      <c r="J15" s="6" t="s">
        <v>45</v>
      </c>
    </row>
    <row r="16" customFormat="false" ht="15" hidden="false" customHeight="false" outlineLevel="0" collapsed="false">
      <c r="A16" s="4" t="s">
        <v>46</v>
      </c>
      <c r="B16" s="5"/>
      <c r="C16" s="5"/>
      <c r="D16" s="5"/>
      <c r="E16" s="5"/>
      <c r="F16" s="5"/>
      <c r="G16" s="5"/>
      <c r="H16" s="5"/>
      <c r="I16" s="5"/>
      <c r="J16" s="5"/>
    </row>
    <row r="17" customFormat="false" ht="22.35" hidden="false" customHeight="false" outlineLevel="0" collapsed="false">
      <c r="A17" s="6"/>
      <c r="B17" s="6" t="s">
        <v>22</v>
      </c>
      <c r="C17" s="6" t="s">
        <v>47</v>
      </c>
      <c r="D17" s="6" t="s">
        <v>48</v>
      </c>
      <c r="E17" s="6" t="s">
        <v>49</v>
      </c>
      <c r="F17" s="6" t="n">
        <v>800</v>
      </c>
      <c r="G17" s="6" t="n">
        <v>2500</v>
      </c>
      <c r="H17" s="6" t="s">
        <v>50</v>
      </c>
      <c r="I17" s="7" t="s">
        <v>19</v>
      </c>
      <c r="J17" s="6" t="s">
        <v>51</v>
      </c>
    </row>
    <row r="18" customFormat="false" ht="15" hidden="false" customHeight="false" outlineLevel="0" collapsed="false">
      <c r="A18" s="4" t="s">
        <v>52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6"/>
      <c r="B19" s="6" t="s">
        <v>14</v>
      </c>
      <c r="C19" s="6" t="s">
        <v>53</v>
      </c>
      <c r="D19" s="6" t="s">
        <v>54</v>
      </c>
      <c r="E19" s="6" t="s">
        <v>55</v>
      </c>
      <c r="F19" s="6" t="n">
        <v>200</v>
      </c>
      <c r="G19" s="6" t="n">
        <v>600</v>
      </c>
      <c r="H19" s="6" t="s">
        <v>18</v>
      </c>
      <c r="I19" s="7" t="s">
        <v>19</v>
      </c>
      <c r="J19" s="6" t="s">
        <v>56</v>
      </c>
    </row>
    <row r="21" customFormat="false" ht="15" hidden="false" customHeight="false" outlineLevel="0" collapsed="false">
      <c r="A21" s="8" t="s">
        <v>57</v>
      </c>
      <c r="B21" s="8"/>
      <c r="C21" s="8"/>
      <c r="D21" s="8"/>
      <c r="E21" s="8"/>
      <c r="F21" s="9" t="n">
        <f aca="false">SUMIF(I6:I19,"Y",F6:F19)</f>
        <v>4550</v>
      </c>
      <c r="G21" s="9" t="n">
        <f aca="false">SUMIF(I6:I19,"Y",G6:G19)</f>
        <v>13300</v>
      </c>
    </row>
  </sheetData>
  <mergeCells count="1"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6.15" hidden="false" customHeight="false" outlineLevel="0" collapsed="false">
      <c r="A1" s="10" t="s">
        <v>58</v>
      </c>
    </row>
    <row r="3" customFormat="false" ht="23.85" hidden="false" customHeight="false" outlineLevel="0" collapsed="false">
      <c r="A3" s="11" t="s">
        <v>59</v>
      </c>
    </row>
    <row r="4" customFormat="false" ht="15" hidden="false" customHeight="false" outlineLevel="0" collapsed="false">
      <c r="A4" s="11" t="s">
        <v>60</v>
      </c>
    </row>
    <row r="5" customFormat="false" ht="23.85" hidden="false" customHeight="false" outlineLevel="0" collapsed="false">
      <c r="A5" s="1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2" t="s">
        <v>62</v>
      </c>
      <c r="B1" s="12" t="s">
        <v>63</v>
      </c>
    </row>
    <row r="2" customFormat="false" ht="15" hidden="false" customHeight="false" outlineLevel="0" collapsed="false">
      <c r="A2" s="13" t="s">
        <v>64</v>
      </c>
      <c r="B2" s="14" t="s">
        <v>65</v>
      </c>
    </row>
    <row r="3" customFormat="false" ht="15" hidden="false" customHeight="false" outlineLevel="0" collapsed="false">
      <c r="A3" s="13" t="s">
        <v>66</v>
      </c>
      <c r="B3" s="14" t="s">
        <v>67</v>
      </c>
    </row>
    <row r="4" customFormat="false" ht="15" hidden="false" customHeight="false" outlineLevel="0" collapsed="false">
      <c r="A4" s="13" t="s">
        <v>68</v>
      </c>
      <c r="B4" s="14" t="s">
        <v>69</v>
      </c>
    </row>
    <row r="5" customFormat="false" ht="15" hidden="false" customHeight="false" outlineLevel="0" collapsed="false">
      <c r="A5" s="13" t="s">
        <v>70</v>
      </c>
      <c r="B5" s="14" t="s">
        <v>71</v>
      </c>
    </row>
    <row r="6" customFormat="false" ht="15" hidden="false" customHeight="false" outlineLevel="0" collapsed="false">
      <c r="A6" s="13" t="s">
        <v>72</v>
      </c>
      <c r="B6" s="1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2026-06-30T21:03:35Z</dcterms:created>
  <dc:creator>openpyxl</dc:creator>
  <dc:description/>
  <dc:language>en-US</dc:language>
  <cp:lastModifiedBy/>
  <dcterms:modified xsi:type="dcterms:W3CDTF">2026-06-30T21:03:35Z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