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Rollup (V2)" sheetId="1" state="visible" r:id="rId3"/>
    <sheet name="Mas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<sst xmlns="http://schemas.openxmlformats.org/spreadsheetml/2006/main" count="67" uniqueCount="67">
  <si>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House BUS V2 - Master Cost Rollup (from the 10 sourcing trackers)</t>
  </si>
  <si>
    <t xml:space="preserve">V1-pick cost ranges rolled up from each subsystem tracker + the gaps no tracker covers. Indicative; confirm at quote. V1 (30 ft skoolie) BOM is separate (~$82-174k).</t>
  </si>
  <si>
    <t xml:space="preserve">Subsystem</t>
  </si>
  <si>
    <t xml:space="preserve">Low ($)</t>
  </si>
  <si>
    <t xml:space="preserve">High ($)</t>
  </si>
  <si>
    <t xml:space="preserve">Source tracker / notes</t>
  </si>
  <si>
    <t xml:space="preserve">Drivetrain (e-axle / drive unit)</t>
  </si>
  <si>
    <t xml:space="preserve">EAxle_Sourcing (JJE 3-in-1 ~200-230 kW); price indicative</t>
  </si>
  <si>
    <t xml:space="preserve">Thermal core</t>
  </si>
  <si>
    <t xml:space="preserve">Thermal_Core_Sourcing (self-build CO2 dual-circuit)</t>
  </si>
  <si>
    <t xml:space="preserve">Battery system</t>
  </si>
  <si>
    <t xml:space="preserve">Battery_Sourcing (cells dominate; ~330 kWh sodium)</t>
  </si>
  <si>
    <t xml:space="preserve">Power electronics</t>
  </si>
  <si>
    <t xml:space="preserve">Power_Electronics_Sourcing (HV-terminal items live in Battery)</t>
  </si>
  <si>
    <t xml:space="preserve">Structure &amp; body</t>
  </si>
  <si>
    <t xml:space="preserve">Structure_Sourcing (frame+panels+slides+insulation+susp+glazing)</t>
  </si>
  <si>
    <t xml:space="preserve">Water</t>
  </si>
  <si>
    <t xml:space="preserve">Water_Sourcing (Showerloop + composting WC + UV + tanks)</t>
  </si>
  <si>
    <t xml:space="preserve">Controls &amp; software</t>
  </si>
  <si>
    <t xml:space="preserve">Controls_Sourcing (Victron + Home Assistant + nodes)</t>
  </si>
  <si>
    <t xml:space="preserve">Safety &amp; egress</t>
  </si>
  <si>
    <t xml:space="preserve">Safety_Sourcing (detectors + AQ arrays + suppression)</t>
  </si>
  <si>
    <t xml:space="preserve">Lighting &amp; 48 V</t>
  </si>
  <si>
    <t xml:space="preserve">Lighting_Sourcing (LED + bucks + USB-C PD)</t>
  </si>
  <si>
    <t xml:space="preserve">Solar</t>
  </si>
  <si>
    <t xml:space="preserve">Solar_Sourcing (rigid+tilt + deployable + MPPT)</t>
  </si>
  <si>
    <t xml:space="preserve">Subtotal - sourced subsystems</t>
  </si>
  <si>
    <t xml:space="preserve">GAPS not in subsystem trackers:</t>
  </si>
  <si>
    <t xml:space="preserve">Interior fit-out &amp; appliances</t>
  </si>
  <si>
    <t xml:space="preserve">cabinetry, bed, galley, fridge, 48V induction, DC oven, flooring, furniture</t>
  </si>
  <si>
    <t xml:space="preserve">Misc (wiring/harness, plumbing fittings, fasteners, integration)</t>
  </si>
  <si>
    <t xml:space="preserve">Subtotal - with gaps</t>
  </si>
  <si>
    <t xml:space="preserve">Contingency (20%)</t>
  </si>
  <si>
    <t xml:space="preserve">V2 GRAND TOTAL (indicative)</t>
  </si>
  <si>
    <t xml:space="preserve">Cross-check: existing House_BUS_BOM.xlsx build total = $141,875 - $354,000 (built bottom-up, includes premium options). The tracker rollup lands in the same band - consistent.</t>
  </si>
  <si>
    <t xml:space="preserve">House BUS V2 - Mass Summary (from House_BUS_Mass_Budget.xlsx)</t>
  </si>
  <si>
    <t xml:space="preserve">Metric</t>
  </si>
  <si>
    <t xml:space="preserve">Value</t>
  </si>
  <si>
    <t xml:space="preserve">Notes</t>
  </si>
  <si>
    <t xml:space="preserve">Curb weight - baseline (steel-heavy)</t>
  </si>
  <si>
    <t xml:space="preserve">18,680 lb</t>
  </si>
  <si>
    <t xml:space="preserve">conventional build reference</t>
  </si>
  <si>
    <t xml:space="preserve">Curb weight - optimized (target)</t>
  </si>
  <si>
    <t xml:space="preserve">13,670 lb</t>
  </si>
  <si>
    <t xml:space="preserve">advanced materials</t>
  </si>
  <si>
    <t xml:space="preserve">Mass strip vs baseline</t>
  </si>
  <si>
    <t xml:space="preserve">~26.8%</t>
  </si>
  <si>
    <t xml:space="preserve">exceeds the 20-25% target</t>
  </si>
  <si>
    <t xml:space="preserve">Battery (fixed anchor)</t>
  </si>
  <si>
    <t xml:space="preserve">~4,180 lb</t>
  </si>
  <si>
    <t xml:space="preserve">~330 kWh sodium dual-domain</t>
  </si>
  <si>
    <t xml:space="preserve">Loaded weight (curb + payload)</t>
  </si>
  <si>
    <t xml:space="preserve">15,437 lb</t>
  </si>
  <si>
    <t xml:space="preserve">optimized curb + payload</t>
  </si>
  <si>
    <t xml:space="preserve">GVWR target</t>
  </si>
  <si>
    <t xml:space="preserve">19,500 lb</t>
  </si>
  <si>
    <t xml:space="preserve">Class 5; non-CDL</t>
  </si>
  <si>
    <t xml:space="preserve">Margin under GVWR</t>
  </si>
  <si>
    <t xml:space="preserve">4,063 lb</t>
  </si>
  <si>
    <t xml:space="preserve">Within GVWR by 4,063 lb</t>
  </si>
  <si>
    <t xml:space="preserve">Curb CG from front</t>
  </si>
  <si>
    <t xml:space="preserve">156 in</t>
  </si>
  <si>
    <t xml:space="preserve">battery floor centers it; balanced</t>
  </si>
  <si>
    <t xml:space="preserve">Verdict</t>
  </si>
  <si>
    <t xml:space="preserve">Within GVWR</t>
  </si>
  <si>
    <t xml:space="preserve">healthy headroom</t>
  </si>
  <si>
    <t xml:space="preserve">Full component-by-component mass detail lives in 00_Admin_Budget_Schedule/House_BUS_Mass_Budget.xlsx. This is the headline summary for the consolidated picture.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</si>
</sst>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5E8F0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5000</v>
      </c>
      <c r="C5" s="4" t="n">
        <v>12000</v>
      </c>
      <c r="D5" s="5" t="s">
        <v>7</v>
      </c>
    </row>
    <row r="6" customFormat="false" ht="15" hidden="false" customHeight="false" outlineLevel="0" collapsed="false">
      <c r="A6" s="4" t="s">
        <v>8</v>
      </c>
      <c r="B6" s="4" t="n">
        <v>3300</v>
      </c>
      <c r="C6" s="4" t="n">
        <v>8800</v>
      </c>
      <c r="D6" s="5" t="s">
        <v>9</v>
      </c>
    </row>
    <row r="7" customFormat="false" ht="15" hidden="false" customHeight="false" outlineLevel="0" collapsed="false">
      <c r="A7" s="4" t="s">
        <v>10</v>
      </c>
      <c r="B7" s="4" t="n">
        <v>35200</v>
      </c>
      <c r="C7" s="4" t="n">
        <v>69800</v>
      </c>
      <c r="D7" s="5" t="s">
        <v>11</v>
      </c>
    </row>
    <row r="8" customFormat="false" ht="15" hidden="false" customHeight="false" outlineLevel="0" collapsed="false">
      <c r="A8" s="4" t="s">
        <v>12</v>
      </c>
      <c r="B8" s="4" t="n">
        <v>2500</v>
      </c>
      <c r="C8" s="4" t="n">
        <v>6400</v>
      </c>
      <c r="D8" s="5" t="s">
        <v>13</v>
      </c>
    </row>
    <row r="9" customFormat="false" ht="15" hidden="false" customHeight="false" outlineLevel="0" collapsed="false">
      <c r="A9" s="4" t="s">
        <v>14</v>
      </c>
      <c r="B9" s="4" t="n">
        <v>29000</v>
      </c>
      <c r="C9" s="4" t="n">
        <v>80000</v>
      </c>
      <c r="D9" s="5" t="s">
        <v>15</v>
      </c>
    </row>
    <row r="10" customFormat="false" ht="15" hidden="false" customHeight="false" outlineLevel="0" collapsed="false">
      <c r="A10" s="4" t="s">
        <v>16</v>
      </c>
      <c r="B10" s="4" t="n">
        <v>4550</v>
      </c>
      <c r="C10" s="4" t="n">
        <v>13300</v>
      </c>
      <c r="D10" s="5" t="s">
        <v>17</v>
      </c>
    </row>
    <row r="11" customFormat="false" ht="15" hidden="false" customHeight="false" outlineLevel="0" collapsed="false">
      <c r="A11" s="4" t="s">
        <v>18</v>
      </c>
      <c r="B11" s="4" t="n">
        <v>1750</v>
      </c>
      <c r="C11" s="4" t="n">
        <v>5500</v>
      </c>
      <c r="D11" s="5" t="s">
        <v>19</v>
      </c>
    </row>
    <row r="12" customFormat="false" ht="15" hidden="false" customHeight="false" outlineLevel="0" collapsed="false">
      <c r="A12" s="4" t="s">
        <v>20</v>
      </c>
      <c r="B12" s="4" t="n">
        <v>1200</v>
      </c>
      <c r="C12" s="4" t="n">
        <v>4100</v>
      </c>
      <c r="D12" s="5" t="s">
        <v>21</v>
      </c>
    </row>
    <row r="13" customFormat="false" ht="15" hidden="false" customHeight="false" outlineLevel="0" collapsed="false">
      <c r="A13" s="4" t="s">
        <v>22</v>
      </c>
      <c r="B13" s="4" t="n">
        <v>1500</v>
      </c>
      <c r="C13" s="4" t="n">
        <v>4500</v>
      </c>
      <c r="D13" s="5" t="s">
        <v>23</v>
      </c>
    </row>
    <row r="14" customFormat="false" ht="15" hidden="false" customHeight="false" outlineLevel="0" collapsed="false">
      <c r="A14" s="4" t="s">
        <v>24</v>
      </c>
      <c r="B14" s="4" t="n">
        <v>5200</v>
      </c>
      <c r="C14" s="4" t="n">
        <v>16200</v>
      </c>
      <c r="D14" s="5" t="s">
        <v>25</v>
      </c>
    </row>
    <row r="15" customFormat="false" ht="15" hidden="false" customHeight="false" outlineLevel="0" collapsed="false">
      <c r="A15" s="6" t="s">
        <v>26</v>
      </c>
      <c r="B15" s="7" t="n">
        <f aca="false">SUM(B5:B14)</f>
        <v>89200</v>
      </c>
      <c r="C15" s="7" t="n">
        <f aca="false">SUM(C5:C14)</f>
        <v>220600</v>
      </c>
      <c r="D15" s="8"/>
    </row>
    <row r="16" customFormat="false" ht="15" hidden="false" customHeight="false" outlineLevel="0" collapsed="false">
      <c r="A16" s="9" t="s">
        <v>27</v>
      </c>
      <c r="B16" s="10"/>
      <c r="C16" s="10"/>
      <c r="D16" s="10"/>
    </row>
    <row r="17" customFormat="false" ht="15" hidden="false" customHeight="false" outlineLevel="0" collapsed="false">
      <c r="A17" s="4" t="s">
        <v>28</v>
      </c>
      <c r="B17" s="4" t="n">
        <v>12000</v>
      </c>
      <c r="C17" s="4" t="n">
        <v>35000</v>
      </c>
      <c r="D17" s="5" t="s">
        <v>29</v>
      </c>
    </row>
    <row r="18" customFormat="false" ht="23.85" hidden="false" customHeight="false" outlineLevel="0" collapsed="false">
      <c r="A18" s="4" t="s">
        <v>30</v>
      </c>
      <c r="B18" s="4" t="n">
        <v>3000</v>
      </c>
      <c r="C18" s="4" t="n">
        <v>10000</v>
      </c>
      <c r="D18" s="5"/>
    </row>
    <row r="19" customFormat="false" ht="15" hidden="false" customHeight="false" outlineLevel="0" collapsed="false">
      <c r="A19" s="6" t="s">
        <v>31</v>
      </c>
      <c r="B19" s="7" t="n">
        <f aca="false">B15+SUM(B17:B18)</f>
        <v>104200</v>
      </c>
      <c r="C19" s="7" t="n">
        <f aca="false">C15+SUM(C17:C18)</f>
        <v>265600</v>
      </c>
      <c r="D19" s="8"/>
    </row>
    <row r="20" customFormat="false" ht="15" hidden="false" customHeight="false" outlineLevel="0" collapsed="false">
      <c r="A20" s="11" t="s">
        <v>32</v>
      </c>
      <c r="B20" s="11" t="n">
        <f aca="false">B19*0.2</f>
        <v>20840</v>
      </c>
      <c r="C20" s="11" t="n">
        <f aca="false">C19*0.2</f>
        <v>53120</v>
      </c>
      <c r="D20" s="12"/>
    </row>
    <row r="21" customFormat="false" ht="15" hidden="false" customHeight="false" outlineLevel="0" collapsed="false">
      <c r="A21" s="13" t="s">
        <v>33</v>
      </c>
      <c r="B21" s="14" t="n">
        <f aca="false">B19+B20</f>
        <v>125040</v>
      </c>
      <c r="C21" s="14" t="n">
        <f aca="false">C19+C20</f>
        <v>318720</v>
      </c>
      <c r="D21" s="12"/>
    </row>
    <row r="23" customFormat="false" ht="22.35" hidden="false" customHeight="true" outlineLevel="0" collapsed="false">
      <c r="A23" s="15" t="s">
        <v>34</v>
      </c>
      <c r="B23" s="15"/>
      <c r="C23" s="15"/>
      <c r="D23" s="15"/>
    </row>
  </sheetData>
  <mergeCells count="1"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6" t="s">
        <v>36</v>
      </c>
      <c r="B3" s="16" t="s">
        <v>37</v>
      </c>
      <c r="C3" s="16" t="s">
        <v>38</v>
      </c>
    </row>
    <row r="4" customFormat="false" ht="15" hidden="false" customHeight="false" outlineLevel="0" collapsed="false">
      <c r="A4" s="4" t="s">
        <v>39</v>
      </c>
      <c r="B4" s="17" t="s">
        <v>40</v>
      </c>
      <c r="C4" s="18" t="s">
        <v>41</v>
      </c>
    </row>
    <row r="5" customFormat="false" ht="15" hidden="false" customHeight="false" outlineLevel="0" collapsed="false">
      <c r="A5" s="4" t="s">
        <v>42</v>
      </c>
      <c r="B5" s="17" t="s">
        <v>43</v>
      </c>
      <c r="C5" s="18" t="s">
        <v>44</v>
      </c>
    </row>
    <row r="6" customFormat="false" ht="15" hidden="false" customHeight="false" outlineLevel="0" collapsed="false">
      <c r="A6" s="4" t="s">
        <v>45</v>
      </c>
      <c r="B6" s="17" t="s">
        <v>46</v>
      </c>
      <c r="C6" s="18" t="s">
        <v>47</v>
      </c>
    </row>
    <row r="7" customFormat="false" ht="15" hidden="false" customHeight="false" outlineLevel="0" collapsed="false">
      <c r="A7" s="4" t="s">
        <v>48</v>
      </c>
      <c r="B7" s="17" t="s">
        <v>49</v>
      </c>
      <c r="C7" s="18" t="s">
        <v>50</v>
      </c>
    </row>
    <row r="8" customFormat="false" ht="15" hidden="false" customHeight="false" outlineLevel="0" collapsed="false">
      <c r="A8" s="4" t="s">
        <v>51</v>
      </c>
      <c r="B8" s="17" t="s">
        <v>52</v>
      </c>
      <c r="C8" s="18" t="s">
        <v>53</v>
      </c>
    </row>
    <row r="9" customFormat="false" ht="15" hidden="false" customHeight="false" outlineLevel="0" collapsed="false">
      <c r="A9" s="4" t="s">
        <v>54</v>
      </c>
      <c r="B9" s="17" t="s">
        <v>55</v>
      </c>
      <c r="C9" s="18" t="s">
        <v>56</v>
      </c>
    </row>
    <row r="10" customFormat="false" ht="15" hidden="false" customHeight="false" outlineLevel="0" collapsed="false">
      <c r="A10" s="19" t="s">
        <v>57</v>
      </c>
      <c r="B10" s="20" t="s">
        <v>58</v>
      </c>
      <c r="C10" s="21" t="s">
        <v>59</v>
      </c>
    </row>
    <row r="11" customFormat="false" ht="15" hidden="false" customHeight="false" outlineLevel="0" collapsed="false">
      <c r="A11" s="4" t="s">
        <v>60</v>
      </c>
      <c r="B11" s="17" t="s">
        <v>61</v>
      </c>
      <c r="C11" s="18" t="s">
        <v>62</v>
      </c>
    </row>
    <row r="12" customFormat="false" ht="15" hidden="false" customHeight="false" outlineLevel="0" collapsed="false">
      <c r="A12" s="19" t="s">
        <v>63</v>
      </c>
      <c r="B12" s="20" t="s">
        <v>64</v>
      </c>
      <c r="C12" s="21" t="s">
        <v>65</v>
      </c>
    </row>
    <row r="14" customFormat="false" ht="22.35" hidden="false" customHeight="true" outlineLevel="0" collapsed="false">
      <c r="A14" s="22" t="s">
        <v>66</v>
      </c>
      <c r="B14" s="22"/>
      <c r="C14" s="22"/>
    </row>
  </sheetData>
  <mergeCells count="1"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2026-06-30T21:31:56Z</dcterms:created>
  <dc:creator>openpyxl</dc:creator>
  <dc:description/>
  <dc:language>en-US</dc:language>
  <cp:lastModifiedBy/>
  <dcterms:modified xsi:type="dcterms:W3CDTF">2026-06-30T21:31:56Z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