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ing" sheetId="1" state="visible" r:id="rId3"/>
    <sheet name="Decision &amp; V2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<sst xmlns="http://schemas.openxmlformats.org/spreadsheetml/2006/main" count="85" uniqueCount="76">
  <si>
    <t xml:space="preserve">House BUS - Structure &amp; Body Sourcing Tracker (step 3)</t>
  </si>
  <si>
    <t xml:space="preserve">V2 bespoke structural-pack frame integrating off-the-shelf panels/slides/suspension/insulation. Roboformed pack enclosure = in the Battery tracker.</t>
  </si>
  <si>
    <t xml:space="preserve">Tier A=build | B=quality off-the-shelf | C=premium. Prices indicative.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</si>
  <si>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</si>
  <si>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</si>
  <si>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</si>
  <si>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</si>
  <si>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</si>
  <si>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Price low ($)</t>
  </si>
  <si>
    <t xml:space="preserve">Price high ($)</t>
  </si>
  <si>
    <t xml:space="preserve">Fit verdict</t>
  </si>
  <si>
    <t xml:space="preserve">V1 pick</t>
  </si>
  <si>
    <t xml:space="preserve">Notes / source</t>
  </si>
  <si>
    <t xml:space="preserve">PRIMARY STRUCTURE</t>
  </si>
  <si>
    <t xml:space="preserve">A</t>
  </si>
  <si>
    <t xml:space="preserve">(fabricated)</t>
  </si>
  <si>
    <t xml:space="preserve">space-frame on structural pack</t>
  </si>
  <si>
    <t xml:space="preserve">Al extrusion / hybrid</t>
  </si>
  <si>
    <t xml:space="preserve">the V2 path</t>
  </si>
  <si>
    <t xml:space="preserve">Y</t>
  </si>
  <si>
    <t xml:space="preserve">bespoke; roboformed enclosure in Battery tracker</t>
  </si>
  <si>
    <t xml:space="preserve">BODY PANELS / SHELL</t>
  </si>
  <si>
    <t xml:space="preserve">B</t>
  </si>
  <si>
    <t xml:space="preserve">Composite Box / TOPOLO / RaxPanel</t>
  </si>
  <si>
    <t xml:space="preserve">FRP composite sandwich</t>
  </si>
  <si>
    <t xml:space="preserve">XPS/PU core + FRP skins, ~40% lighter</t>
  </si>
  <si>
    <t xml:space="preserve">adopt panels</t>
  </si>
  <si>
    <t xml:space="preserve">Al-profile joints</t>
  </si>
  <si>
    <t xml:space="preserve">SLIDE-OUT MECHANISM</t>
  </si>
  <si>
    <t xml:space="preserve">Lippert</t>
  </si>
  <si>
    <t xml:space="preserve">Schwintek in-wall (x2)</t>
  </si>
  <si>
    <t xml:space="preserve">electric in-wall slide</t>
  </si>
  <si>
    <t xml:space="preserve">adopt</t>
  </si>
  <si>
    <t xml:space="preserve">lounge + bedroom</t>
  </si>
  <si>
    <t xml:space="preserve">INSULATION (4-season)</t>
  </si>
  <si>
    <t xml:space="preserve">aerogel / VIP / spray foam</t>
  </si>
  <si>
    <t xml:space="preserve">engineered mix</t>
  </si>
  <si>
    <t xml:space="preserve">aerogel R10-30/in + foam</t>
  </si>
  <si>
    <t xml:space="preserve">adopt mix</t>
  </si>
  <si>
    <t xml:space="preserve">thin-wall 4-season</t>
  </si>
  <si>
    <t xml:space="preserve">GLAZING</t>
  </si>
  <si>
    <t xml:space="preserve">(decided)</t>
  </si>
  <si>
    <t xml:space="preserve">double polycarbonate + covers</t>
  </si>
  <si>
    <t xml:space="preserve">insulated drop-down covers</t>
  </si>
  <si>
    <t xml:space="preserve">double-layer PC</t>
  </si>
  <si>
    <t xml:space="preserve">locked</t>
  </si>
  <si>
    <t xml:space="preserve">from gap analysis</t>
  </si>
  <si>
    <t xml:space="preserve">SUSPENSION / LEVELING</t>
  </si>
  <si>
    <t xml:space="preserve">B/C</t>
  </si>
  <si>
    <t xml:space="preserve">Firestone/Hendrickson + Lippert</t>
  </si>
  <si>
    <t xml:space="preserve">air suspension + auto-level</t>
  </si>
  <si>
    <t xml:space="preserve">ride height + park level</t>
  </si>
  <si>
    <t xml:space="preserve">adopt (confirm rating)</t>
  </si>
  <si>
    <t xml:space="preserve">heavy dwelling</t>
  </si>
  <si>
    <t xml:space="preserve">AERO / EXTERIOR</t>
  </si>
  <si>
    <t xml:space="preserve">(bespoke)</t>
  </si>
  <si>
    <t xml:space="preserve">low-Cd shaping + solar roof</t>
  </si>
  <si>
    <t xml:space="preserve">drives range</t>
  </si>
  <si>
    <t xml:space="preserve">design item</t>
  </si>
  <si>
    <t xml:space="preserve">Cd check queued</t>
  </si>
  <si>
    <t xml:space="preserve">V1 PICKS - indicative total:</t>
  </si>
  <si>
    <t xml:space="preserve">House BUS - Structure &amp; Body - Decision &amp; V2 Roadmap</t>
  </si>
  <si>
    <t xml:space="preserve">DECISION: V2 = bespoke structural-pack frame + roboformed pack enclosure (Battery tracker), integrating off-the-shelf composite panels (Composite Box/TOPOLO/RaxPanel ~40% lighter), Lippert slide-outs, air suspension + auto-level, aerogel/VIP/foam insulation, double-PC glazing.</t>
  </si>
  <si>
    <t xml:space="preserve">Build what's missing (the frame + enclosure), adopt panels/slides/suspension/insulation. V1 (skoolie) keeps the donor body instead.</t>
  </si>
  <si>
    <t xml:space="preserve">V2+ headroom: ground-up composite monocoque; more roboformed structure; integrated solar skin.</t>
  </si>
  <si>
    <t xml:space="preserve">Open: frame material (Al extrusion vs composite monocoque vs hybrid); insulation envelope; suspension rating; real Cd; crash/rollover validation.</t>
  </si>
  <si>
    <t xml:space="preserve">Source</t>
  </si>
  <si>
    <t xml:space="preserve">URL</t>
  </si>
  <si>
    <t xml:space="preserve">FRP composite RV bodies</t>
  </si>
  <si>
    <t xml:space="preserve">https://composite-box.com/</t>
  </si>
  <si>
    <t xml:space="preserve">Lippert Schwintek slide-outs</t>
  </si>
  <si>
    <t xml:space="preserve">https://corporate.lippert.com/products/rv/slide-outs</t>
  </si>
  <si>
    <t xml:space="preserve">VIP vs aerogel vs foam</t>
  </si>
  <si>
    <t xml:space="preserve">https://www.vippanels.com/news/comparing-thermal-insulation-materials-vacuum-panels-vs-aerogel-vs-foam.html</t>
  </si>
  <si>
    <t xml:space="preserve">Machina Labs roboforming</t>
  </si>
  <si>
    <t xml:space="preserve">https://machinalabs.ai/capabilities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</si>
</sst>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22.35" hidden="false" customHeight="false" outlineLevel="0" collapsed="false">
      <c r="A7" s="6"/>
      <c r="B7" s="6" t="s">
        <v>14</v>
      </c>
      <c r="C7" s="6" t="s">
        <v>15</v>
      </c>
      <c r="D7" s="6" t="s">
        <v>16</v>
      </c>
      <c r="E7" s="6" t="s">
        <v>17</v>
      </c>
      <c r="F7" s="6" t="n">
        <v>8000</v>
      </c>
      <c r="G7" s="6" t="n">
        <v>25000</v>
      </c>
      <c r="H7" s="6" t="s">
        <v>18</v>
      </c>
      <c r="I7" s="7" t="s">
        <v>19</v>
      </c>
      <c r="J7" s="6" t="s">
        <v>20</v>
      </c>
    </row>
    <row r="8" customFormat="false" ht="15" hidden="false" customHeight="false" outlineLevel="0" collapsed="false">
      <c r="A8" s="4" t="s">
        <v>21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32.8" hidden="false" customHeight="false" outlineLevel="0" collapsed="false">
      <c r="A9" s="6"/>
      <c r="B9" s="6" t="s">
        <v>22</v>
      </c>
      <c r="C9" s="6" t="s">
        <v>23</v>
      </c>
      <c r="D9" s="6" t="s">
        <v>24</v>
      </c>
      <c r="E9" s="6" t="s">
        <v>25</v>
      </c>
      <c r="F9" s="6" t="n">
        <v>8000</v>
      </c>
      <c r="G9" s="6" t="n">
        <v>20000</v>
      </c>
      <c r="H9" s="6" t="s">
        <v>26</v>
      </c>
      <c r="I9" s="7" t="s">
        <v>19</v>
      </c>
      <c r="J9" s="6" t="s">
        <v>27</v>
      </c>
    </row>
    <row r="10" customFormat="false" ht="15" hidden="false" customHeight="false" outlineLevel="0" collapsed="false">
      <c r="A10" s="4" t="s">
        <v>28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6"/>
      <c r="B11" s="6" t="s">
        <v>22</v>
      </c>
      <c r="C11" s="6" t="s">
        <v>29</v>
      </c>
      <c r="D11" s="6" t="s">
        <v>30</v>
      </c>
      <c r="E11" s="6" t="s">
        <v>31</v>
      </c>
      <c r="F11" s="6" t="n">
        <v>3000</v>
      </c>
      <c r="G11" s="6" t="n">
        <v>8000</v>
      </c>
      <c r="H11" s="6" t="s">
        <v>32</v>
      </c>
      <c r="I11" s="7" t="s">
        <v>19</v>
      </c>
      <c r="J11" s="6" t="s">
        <v>33</v>
      </c>
    </row>
    <row r="12" customFormat="false" ht="15" hidden="false" customHeight="false" outlineLevel="0" collapsed="false">
      <c r="A12" s="4" t="s">
        <v>34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22.35" hidden="false" customHeight="false" outlineLevel="0" collapsed="false">
      <c r="A13" s="6"/>
      <c r="B13" s="6" t="s">
        <v>14</v>
      </c>
      <c r="C13" s="6" t="s">
        <v>35</v>
      </c>
      <c r="D13" s="6" t="s">
        <v>36</v>
      </c>
      <c r="E13" s="6" t="s">
        <v>37</v>
      </c>
      <c r="F13" s="6" t="n">
        <v>3000</v>
      </c>
      <c r="G13" s="6" t="n">
        <v>8000</v>
      </c>
      <c r="H13" s="6" t="s">
        <v>38</v>
      </c>
      <c r="I13" s="7" t="s">
        <v>19</v>
      </c>
      <c r="J13" s="6" t="s">
        <v>39</v>
      </c>
    </row>
    <row r="14" customFormat="false" ht="15" hidden="false" customHeight="false" outlineLevel="0" collapsed="false">
      <c r="A14" s="4" t="s">
        <v>40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32.8" hidden="false" customHeight="false" outlineLevel="0" collapsed="false">
      <c r="A15" s="6"/>
      <c r="B15" s="6" t="s">
        <v>41</v>
      </c>
      <c r="C15" s="6" t="s">
        <v>42</v>
      </c>
      <c r="D15" s="6" t="s">
        <v>43</v>
      </c>
      <c r="E15" s="6" t="s">
        <v>44</v>
      </c>
      <c r="F15" s="6" t="n">
        <v>2000</v>
      </c>
      <c r="G15" s="6" t="n">
        <v>5000</v>
      </c>
      <c r="H15" s="6" t="s">
        <v>45</v>
      </c>
      <c r="I15" s="7" t="s">
        <v>19</v>
      </c>
      <c r="J15" s="6" t="s">
        <v>46</v>
      </c>
    </row>
    <row r="16" customFormat="false" ht="15" hidden="false" customHeight="false" outlineLevel="0" collapsed="false">
      <c r="A16" s="4" t="s">
        <v>47</v>
      </c>
      <c r="B16" s="5"/>
      <c r="C16" s="5"/>
      <c r="D16" s="5"/>
      <c r="E16" s="5"/>
      <c r="F16" s="5"/>
      <c r="G16" s="5"/>
      <c r="H16" s="5"/>
      <c r="I16" s="5"/>
      <c r="J16" s="5"/>
    </row>
    <row r="17" customFormat="false" ht="32.8" hidden="false" customHeight="false" outlineLevel="0" collapsed="false">
      <c r="A17" s="6"/>
      <c r="B17" s="6" t="s">
        <v>48</v>
      </c>
      <c r="C17" s="6" t="s">
        <v>49</v>
      </c>
      <c r="D17" s="6" t="s">
        <v>50</v>
      </c>
      <c r="E17" s="6" t="s">
        <v>51</v>
      </c>
      <c r="F17" s="6" t="n">
        <v>3000</v>
      </c>
      <c r="G17" s="6" t="n">
        <v>8000</v>
      </c>
      <c r="H17" s="6" t="s">
        <v>52</v>
      </c>
      <c r="I17" s="7" t="s">
        <v>19</v>
      </c>
      <c r="J17" s="6" t="s">
        <v>53</v>
      </c>
    </row>
    <row r="18" customFormat="false" ht="15" hidden="false" customHeight="false" outlineLevel="0" collapsed="false">
      <c r="A18" s="4" t="s">
        <v>54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22.35" hidden="false" customHeight="false" outlineLevel="0" collapsed="false">
      <c r="A19" s="6"/>
      <c r="B19" s="6" t="s">
        <v>14</v>
      </c>
      <c r="C19" s="6" t="s">
        <v>55</v>
      </c>
      <c r="D19" s="6" t="s">
        <v>56</v>
      </c>
      <c r="E19" s="6" t="s">
        <v>57</v>
      </c>
      <c r="F19" s="6" t="n">
        <v>2000</v>
      </c>
      <c r="G19" s="6" t="n">
        <v>6000</v>
      </c>
      <c r="H19" s="6" t="s">
        <v>58</v>
      </c>
      <c r="I19" s="7" t="s">
        <v>19</v>
      </c>
      <c r="J19" s="6" t="s">
        <v>59</v>
      </c>
    </row>
    <row r="21" customFormat="false" ht="15" hidden="false" customHeight="false" outlineLevel="0" collapsed="false">
      <c r="A21" s="8" t="s">
        <v>60</v>
      </c>
      <c r="B21" s="8"/>
      <c r="C21" s="8"/>
      <c r="D21" s="8"/>
      <c r="E21" s="8"/>
      <c r="F21" s="9" t="n">
        <f aca="false">SUMIF(I6:I19,"Y",F6:F19)</f>
        <v>29000</v>
      </c>
      <c r="G21" s="9" t="n">
        <f aca="false">SUMIF(I6:I19,"Y",G6:G19)</f>
        <v>80000</v>
      </c>
    </row>
  </sheetData>
  <mergeCells count="1"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0" t="s">
        <v>61</v>
      </c>
    </row>
    <row r="3" customFormat="false" ht="35.05" hidden="false" customHeight="false" outlineLevel="0" collapsed="false">
      <c r="A3" s="11" t="s">
        <v>62</v>
      </c>
    </row>
    <row r="4" customFormat="false" ht="15" hidden="false" customHeight="false" outlineLevel="0" collapsed="false">
      <c r="A4" s="11" t="s">
        <v>63</v>
      </c>
    </row>
    <row r="5" customFormat="false" ht="15" hidden="false" customHeight="false" outlineLevel="0" collapsed="false">
      <c r="A5" s="11" t="s">
        <v>64</v>
      </c>
    </row>
    <row r="6" customFormat="false" ht="23.85" hidden="false" customHeight="false" outlineLevel="0" collapsed="false">
      <c r="A6" s="1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2" t="s">
        <v>66</v>
      </c>
      <c r="B1" s="12" t="s">
        <v>67</v>
      </c>
    </row>
    <row r="2" customFormat="false" ht="15" hidden="false" customHeight="false" outlineLevel="0" collapsed="false">
      <c r="A2" s="13" t="s">
        <v>68</v>
      </c>
      <c r="B2" s="14" t="s">
        <v>69</v>
      </c>
    </row>
    <row r="3" customFormat="false" ht="15" hidden="false" customHeight="false" outlineLevel="0" collapsed="false">
      <c r="A3" s="13" t="s">
        <v>70</v>
      </c>
      <c r="B3" s="14" t="s">
        <v>71</v>
      </c>
    </row>
    <row r="4" customFormat="false" ht="15" hidden="false" customHeight="false" outlineLevel="0" collapsed="false">
      <c r="A4" s="13" t="s">
        <v>72</v>
      </c>
      <c r="B4" s="14" t="s">
        <v>73</v>
      </c>
    </row>
    <row r="5" customFormat="false" ht="15" hidden="false" customHeight="false" outlineLevel="0" collapsed="false">
      <c r="A5" s="13" t="s">
        <v>74</v>
      </c>
      <c r="B5" s="1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2026-06-30T21:03:35Z</dcterms:created>
  <dc:creator>openpyxl</dc:creator>
  <dc:description/>
  <dc:language>en-US</dc:language>
  <cp:lastModifiedBy/>
  <dcterms:modified xsi:type="dcterms:W3CDTF">2026-06-30T21:03:35Z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