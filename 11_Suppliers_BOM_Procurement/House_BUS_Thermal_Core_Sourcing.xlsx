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rmal Core Sourcing" sheetId="1" state="visible" r:id="rId3"/>
    <sheet name="Decision &amp; V2 Roadmap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<sst xmlns="http://schemas.openxmlformats.org/spreadsheetml/2006/main" count="203" uniqueCount="168">
  <si>
    <t xml:space="preserve">House BUS - Thermal Core Sourcing Tracker (step 3)</t>
  </si>
  <si>
    <t xml:space="preserve">Decision (from Thermal_Core_Supplier_Vetting.md): whole OEM units rejected on FIT (oversized/sealed). SELF-BUILD the integrated dual-circuit core from off-the-shelf components.</t>
  </si>
  <si>
    <t xml:space="preserve">Tier A = assemble from catalogue components (the path) | Tier B = low-end Chinese | Tier C = high-end incumbent (reference / fallback). High-temp = 400 V CO2 (R744); low-temp = 48 V DC. Prices indicative (many quote-based); confirm at quote stage.</t>
  </si>
  <si>
    <t xml:space="preserve">Core duty: ~8-10 kW modulating, dual compressors. 400 V pack (V1; 800 V future). CO2 gas cooler natively makes 60-95 C water for heat reuse.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</si>
  <si>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</si>
  <si>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</si>
  <si>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</si>
  <si>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</si>
  <si>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</si>
  <si>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Voltage</t>
  </si>
  <si>
    <t xml:space="preserve">Refrigerant</t>
  </si>
  <si>
    <t xml:space="preserve">Price low ($)</t>
  </si>
  <si>
    <t xml:space="preserve">Price high ($)</t>
  </si>
  <si>
    <t xml:space="preserve">Small-buyer access</t>
  </si>
  <si>
    <t xml:space="preserve">Fit verdict</t>
  </si>
  <si>
    <t xml:space="preserve">V1 pick</t>
  </si>
  <si>
    <t xml:space="preserve">Notes / source</t>
  </si>
  <si>
    <t xml:space="preserve">HIGH-TEMP COMPRESSOR</t>
  </si>
  <si>
    <t xml:space="preserve">C</t>
  </si>
  <si>
    <t xml:space="preserve">Hanon Systems</t>
  </si>
  <si>
    <t xml:space="preserve">CO2 e-compressor (~5.5 kW)</t>
  </si>
  <si>
    <t xml:space="preserve">~5.5 kW, EV HVAC</t>
  </si>
  <si>
    <t xml:space="preserve">~400 V</t>
  </si>
  <si>
    <t xml:space="preserve">CO2 (R744)</t>
  </si>
  <si>
    <t xml:space="preserve">OEM-tier (hard single)</t>
  </si>
  <si>
    <t xml:space="preserve">Proven 400 V CO2 (VW ID.3/4, Audi Q4, Cupra Born)</t>
  </si>
  <si>
    <t xml:space="preserve">Reference that 400 V CO2 is mass-produced. naturalrefrigerants.com</t>
  </si>
  <si>
    <t xml:space="preserve">Sanden</t>
  </si>
  <si>
    <t xml:space="preserve">CO2 mobile compressor</t>
  </si>
  <si>
    <t xml:space="preserve">mobile A/C / HP</t>
  </si>
  <si>
    <t xml:space="preserve">OEM-tier</t>
  </si>
  <si>
    <t xml:space="preserve">Alt mass-market CO2 compressor</t>
  </si>
  <si>
    <t xml:space="preserve">Reference</t>
  </si>
  <si>
    <t xml:space="preserve">B</t>
  </si>
  <si>
    <t xml:space="preserve">Guchen-EAC</t>
  </si>
  <si>
    <t xml:space="preserve">HV electric HP compressor</t>
  </si>
  <si>
    <t xml:space="preserve">scroll, 200-400 VDC in</t>
  </si>
  <si>
    <t xml:space="preserve">200-400 VDC</t>
  </si>
  <si>
    <t xml:space="preserve">CO2 or R134a</t>
  </si>
  <si>
    <t xml:space="preserve">Distributor / quote</t>
  </si>
  <si>
    <t xml:space="preserve">Direct 400 V fit; Chinese, accessible</t>
  </si>
  <si>
    <t xml:space="preserve">Y</t>
  </si>
  <si>
    <t xml:space="preserve">V1 candidate (CO2 variant). guchen-eac.com</t>
  </si>
  <si>
    <t xml:space="preserve">B/A</t>
  </si>
  <si>
    <t xml:space="preserve">Stealth EV (New Eagle)</t>
  </si>
  <si>
    <t xml:space="preserve">EV A/C compressor + ECU</t>
  </si>
  <si>
    <t xml:space="preserve">retrofit kit</t>
  </si>
  <si>
    <t xml:space="preserve">R1234yf/R134a</t>
  </si>
  <si>
    <t xml:space="preserve">Sells to builders</t>
  </si>
  <si>
    <t xml:space="preserve">R1234yf FALLBACK path (small-buyer friendly)</t>
  </si>
  <si>
    <t xml:space="preserve">If CO2 sourcing stalls. stealthev.com</t>
  </si>
  <si>
    <t xml:space="preserve">Classic Retrofit</t>
  </si>
  <si>
    <t xml:space="preserve">400 V Electrocooler + ECU</t>
  </si>
  <si>
    <t xml:space="preserve">400 V</t>
  </si>
  <si>
    <t xml:space="preserve">R1234yf</t>
  </si>
  <si>
    <t xml:space="preserve">R1234yf fallback</t>
  </si>
  <si>
    <t xml:space="preserve">classicretrofit.com</t>
  </si>
  <si>
    <t xml:space="preserve">LOW-TEMP COMPRESSOR</t>
  </si>
  <si>
    <t xml:space="preserve">A/B</t>
  </si>
  <si>
    <t xml:space="preserve">Secop / Danfoss</t>
  </si>
  <si>
    <t xml:space="preserve">BD350GH (or BD250GH.2-HD)</t>
  </si>
  <si>
    <t xml:space="preserve">var-speed DC, HD vibration</t>
  </si>
  <si>
    <t xml:space="preserve">12/24/48 V DC</t>
  </si>
  <si>
    <t xml:space="preserve">R290/R600a/R134a</t>
  </si>
  <si>
    <t xml:space="preserve">Distributors / direct</t>
  </si>
  <si>
    <t xml:space="preserve">PERFECT fit: fridge+freezer off 48 V rail</t>
  </si>
  <si>
    <t xml:space="preserve">V1 pick. secop.com; mobile-fridge standard</t>
  </si>
  <si>
    <t xml:space="preserve">Purswave / OEM rebadge</t>
  </si>
  <si>
    <t xml:space="preserve">Secop-compatible 48 V DC</t>
  </si>
  <si>
    <t xml:space="preserve">var-speed DC</t>
  </si>
  <si>
    <t xml:space="preserve">48 V DC</t>
  </si>
  <si>
    <t xml:space="preserve">R290/R134a</t>
  </si>
  <si>
    <t xml:space="preserve">Made-in-China / quote</t>
  </si>
  <si>
    <t xml:space="preserve">Cheaper alt to Secop</t>
  </si>
  <si>
    <t xml:space="preserve">Cost-down option</t>
  </si>
  <si>
    <t xml:space="preserve">GAS COOLER / DHW EXCHANGER</t>
  </si>
  <si>
    <t xml:space="preserve">A</t>
  </si>
  <si>
    <t xml:space="preserve">SWEP / Kaori / Danfoss</t>
  </si>
  <si>
    <t xml:space="preserve">CO2 brazed-plate (B-series)</t>
  </si>
  <si>
    <t xml:space="preserve">CO2-rated BPHE, high-P</t>
  </si>
  <si>
    <t xml:space="preserve">-</t>
  </si>
  <si>
    <t xml:space="preserve">CO2 side</t>
  </si>
  <si>
    <t xml:space="preserve">HVAC distributor</t>
  </si>
  <si>
    <t xml:space="preserve">High-side heat -&gt; 60-95 C water</t>
  </si>
  <si>
    <t xml:space="preserve">CO2 gas cooler = native DHW. swep.net</t>
  </si>
  <si>
    <t xml:space="preserve">EVAPORATOR / INTERMEDIATE EXCHANGERS</t>
  </si>
  <si>
    <t xml:space="preserve">BPHE (glycol-water/refrig)</t>
  </si>
  <si>
    <t xml:space="preserve">brazed plate x several</t>
  </si>
  <si>
    <t xml:space="preserve">both circuits</t>
  </si>
  <si>
    <t xml:space="preserve">Loop-to-glycol coupling</t>
  </si>
  <si>
    <t xml:space="preserve">Several units across manifold</t>
  </si>
  <si>
    <t xml:space="preserve">MANIFOLD + VALVES / ACTUATORS</t>
  </si>
  <si>
    <t xml:space="preserve">Pierburg/MAHLE/Robertshaw</t>
  </si>
  <si>
    <t xml:space="preserve">EV coolant valves + actuators</t>
  </si>
  <si>
    <t xml:space="preserve">multi-port, ~6-10 valves</t>
  </si>
  <si>
    <t xml:space="preserve">12/48 V ctrl</t>
  </si>
  <si>
    <t xml:space="preserve">glycol</t>
  </si>
  <si>
    <t xml:space="preserve">Our 'beyond-Octovalve' manifold</t>
  </si>
  <si>
    <t xml:space="preserve">Tesla Octovalve = reference (not sold). Build from valves</t>
  </si>
  <si>
    <t xml:space="preserve">(Tesla Octovalve)</t>
  </si>
  <si>
    <t xml:space="preserve">reference only</t>
  </si>
  <si>
    <t xml:space="preserve">8-port integrated</t>
  </si>
  <si>
    <t xml:space="preserve">Not sold separately</t>
  </si>
  <si>
    <t xml:space="preserve">Architecture reference</t>
  </si>
  <si>
    <t xml:space="preserve">Benchmark for our manifold</t>
  </si>
  <si>
    <t xml:space="preserve">THERMAL BUFFERS (hot / cold)</t>
  </si>
  <si>
    <t xml:space="preserve">(fabricated)</t>
  </si>
  <si>
    <t xml:space="preserve">SS hot tank ~60 L + cold store</t>
  </si>
  <si>
    <t xml:space="preserve">insulated, ~2.2 kWh hot</t>
  </si>
  <si>
    <t xml:space="preserve">water/PCM</t>
  </si>
  <si>
    <t xml:space="preserve">Fabricate / source</t>
  </si>
  <si>
    <t xml:space="preserve">Decouples bursts from compressor</t>
  </si>
  <si>
    <t xml:space="preserve">Sizing in granular doc; firm w/ layout</t>
  </si>
  <si>
    <t xml:space="preserve">CONTROLS / SENSORS</t>
  </si>
  <si>
    <t xml:space="preserve">(see Controls track)</t>
  </si>
  <si>
    <t xml:space="preserve">CO2 press. transducers + temp + ECU</t>
  </si>
  <si>
    <t xml:space="preserve">high-P rated for CO2</t>
  </si>
  <si>
    <t xml:space="preserve">12/48 V</t>
  </si>
  <si>
    <t xml:space="preserve">Distributor</t>
  </si>
  <si>
    <t xml:space="preserve">Ties to Controls &amp; Software (Ethernet)</t>
  </si>
  <si>
    <t xml:space="preserve">CO2 needs high-pressure transducers</t>
  </si>
  <si>
    <t xml:space="preserve">REFRIGERANT + LINES</t>
  </si>
  <si>
    <t xml:space="preserve">(CO2 path)</t>
  </si>
  <si>
    <t xml:space="preserve">R744 + stainless lines/fittings</t>
  </si>
  <si>
    <t xml:space="preserve">~5-6x pressure -&gt; SS</t>
  </si>
  <si>
    <t xml:space="preserve">Refrig supplier</t>
  </si>
  <si>
    <t xml:space="preserve">Accept SS lines for CO2 safety</t>
  </si>
  <si>
    <t xml:space="preserve">Cost of the CO2 safety/ESG win</t>
  </si>
  <si>
    <t xml:space="preserve">(R1234yf fallback)</t>
  </si>
  <si>
    <t xml:space="preserve">R1234yf + Al/standard lines</t>
  </si>
  <si>
    <t xml:space="preserve">lower pressure</t>
  </si>
  <si>
    <t xml:space="preserve">Simpler if CO2 stalls</t>
  </si>
  <si>
    <t xml:space="preserve">Fallback only</t>
  </si>
  <si>
    <t xml:space="preserve">V1 SELF-BUILD CORE - indicative total (sum of V1 picks):</t>
  </si>
  <si>
    <t xml:space="preserve">Cross-check vs BOM thermal line</t>
  </si>
  <si>
    <t xml:space="preserve">House BUS - Thermal Core: Decision &amp; V2 Roadmap</t>
  </si>
  <si>
    <t xml:space="preserve">RESOLVED (2026-06-29): self-build the integrated dual-circuit core from off-the-shelf components.</t>
  </si>
  <si>
    <t xml:space="preserve">Why not a whole OEM unit: Konvekta's lightest (UltraLight 700) = 26.5 kW cool / 21 kW heat, ~2.1 x 2.7 m = full-12m-bus rooftop, ~2.5-3x our ~8-10 kW need and physically too big; sealed (no DHW tap). Adopting it would mean bending the bus around the wrong-sized box = no value. Per philosophy, rejected on FIT, not principle.</t>
  </si>
  <si>
    <t xml:space="preserve">Why self-build adds value: nobody sells an ~8-10 kW, freezer-to-DHW, heat-reuse machine for a tiny-house-on-wheels. It doesn't exist -&gt; building it is the thesis. NOT invent-from-scratch: every compressor/valve/exchanger is a catalogue part; the INTEGRATION is ours.</t>
  </si>
  <si>
    <t xml:space="preserve">HIGH-TEMP circuit: 400 V CO2 (R744). CO2 chosen because its gas cooler natively makes 60-95 C water (heat reuse is a property of the refrigerant, not a bolt-on); non-flammable A1 + natural (GWP=1) = ESG + fire/insurance + family safety; benign on leak/crash. Cost: ~5-6x pressure -&gt; stainless lines + per-circuit COP check (CO2 pure-cooling can lag subcritical in hot ambient).</t>
  </si>
  <si>
    <t xml:space="preserve">LOW-TEMP circuit: 48 V DC Secop/Danfoss BD compressor off the house rail (fridge+freezer). Insight: refrigeration ALWAYS rejects heat (must, to stay cold) regardless of ambient -&gt; the most reliable hot-side feed for the water store. Harvest order: fridge/freezer reject heat first (free, constant), then summer cabin-cool reject heat, then winter CHP (~65%).</t>
  </si>
  <si>
    <t xml:space="preserve">Konvekta = the PROOF it works at fleet scale + the Tier-C reference + the documented fallback (de-rated OEM high-temp unit + DIY low-temp + DIY reuse) if the self-build stalls.</t>
  </si>
  <si>
    <t xml:space="preserve">V2 HEADROOM (design-in now, Tesla M3-&gt;MY lesson): (1) size manifold/bay + HV interfaces so an 800 V pack can drop in (~5-7 yrs out); (2) keep interfaces standard so a future right-sized single-vendor integrated core could replace the assembled core without re-plumbing the bus; (3) reserve space/ports for added heat-reuse legs.</t>
  </si>
  <si>
    <t xml:space="preserve">NEXT: per-circuit COP check in hot ambient (confirm CO2 vs R1234yf for the high-temp duty); firm buffer sizing with layout; then this tracker drives the BOM thermal line and (later) supplier outreach once the channel has reach.</t>
  </si>
  <si>
    <t xml:space="preserve">Source</t>
  </si>
  <si>
    <t xml:space="preserve">URL</t>
  </si>
  <si>
    <t xml:space="preserve">Konvekta UltraLight 700 (26.5/21 kW, dims)</t>
  </si>
  <si>
    <t xml:space="preserve">https://cooltechnologies.org/zero/ultralight-700-co2-heatpump/</t>
  </si>
  <si>
    <t xml:space="preserve">Konvekta CO2 variants / scope</t>
  </si>
  <si>
    <t xml:space="preserve">https://refindustry.com/news/market-news/konvekta-co2-heat-pump-variants-for-electric-buses-and-rail-vehicles/</t>
  </si>
  <si>
    <t xml:space="preserve">Hanon/Sanden 400 V CO2 in VW/Audi/Cupra</t>
  </si>
  <si>
    <t xml:space="preserve">https://naturalrefrigerants.com/news/volkswagen-offering-r744-heat-pump-for-electric-vehicles/</t>
  </si>
  <si>
    <t xml:space="preserve">Guchen-EAC HV compressor (200-400 VDC)</t>
  </si>
  <si>
    <t xml:space="preserve">https://www.guchen-eac.com/what/high-voltage-electric-compressor/dc350v-electric-heat-pump-compressor.html</t>
  </si>
  <si>
    <t xml:space="preserve">Stealth EV 400 V compressor + ECU (retrofit)</t>
  </si>
  <si>
    <t xml:space="preserve">https://stealthev.com/product/new-eagle-ev-ac-compressor/</t>
  </si>
  <si>
    <t xml:space="preserve">Classic Retrofit 400 V Electrocooler</t>
  </si>
  <si>
    <t xml:space="preserve">https://www.classicretrofit.com/en-us/products/400v-electrocooler-compressor-ecu-only-electric-vehicle</t>
  </si>
  <si>
    <t xml:space="preserve">Secop/Danfoss BD 48 V DC mobile compressors</t>
  </si>
  <si>
    <t xml:space="preserve">https://www.secop.com/solutions/mobile-cooling-solutions</t>
  </si>
  <si>
    <t xml:space="preserve">Transcritical CO2 DHW 60-95 C / gas cooler</t>
  </si>
  <si>
    <t xml:space="preserve">https://www.sciencedirect.com/science/article/pii/S2590174522001003</t>
  </si>
  <si>
    <t xml:space="preserve">CO2 vs resistive in e-buses (~70% saving)</t>
  </si>
  <si>
    <t xml:space="preserve">https://naturalrefrigerants.com/co2-heat-pumps-found-to-outperform-electric-heaters-in-electric-buses/</t>
  </si>
  <si>
    <t xml:space="preserve">Trane: optimize CO2 for cooling in US</t>
  </si>
  <si>
    <t xml:space="preserve">https://naturalrefrigerants.com/electric-bus-co2-heat-pumps-should-be-optimized-for-cooling-in-the-u-s-to-increase-range-says-trane-technologies-usa/</t>
  </si>
  <si>
    <t xml:space="preserve">Guchen ES-04 (7-8.5 m bus)</t>
  </si>
  <si>
    <t xml:space="preserve">https://www.guchen.com/all-electric-bus-ac/es-04-electric-bus-air-conditioning.html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</si>
</sst>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0" min="10" style="1" width="18"/>
    <col collapsed="false" customWidth="true" hidden="false" outlineLevel="0" max="11" min="11" style="1" width="22"/>
    <col collapsed="false" customWidth="true" hidden="false" outlineLevel="0" max="12" min="12" style="1" width="7"/>
    <col collapsed="false" customWidth="true" hidden="false" outlineLevel="0" max="13" min="13" style="1" width="3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6" customFormat="false" ht="23.2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</row>
    <row r="7" customFormat="false" ht="15" hidden="false" customHeight="true" outlineLevel="0" collapsed="false">
      <c r="A7" s="5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Format="false" ht="21.75" hidden="false" customHeight="true" outlineLevel="0" collapsed="false">
      <c r="A8" s="7"/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n">
        <v>600</v>
      </c>
      <c r="I8" s="7" t="n">
        <v>1500</v>
      </c>
      <c r="J8" s="7" t="s">
        <v>24</v>
      </c>
      <c r="K8" s="7" t="s">
        <v>25</v>
      </c>
      <c r="L8" s="7"/>
      <c r="M8" s="7" t="s">
        <v>26</v>
      </c>
    </row>
    <row r="9" customFormat="false" ht="21.75" hidden="false" customHeight="true" outlineLevel="0" collapsed="false">
      <c r="A9" s="7"/>
      <c r="B9" s="7" t="s">
        <v>18</v>
      </c>
      <c r="C9" s="7" t="s">
        <v>27</v>
      </c>
      <c r="D9" s="7" t="s">
        <v>28</v>
      </c>
      <c r="E9" s="7" t="s">
        <v>29</v>
      </c>
      <c r="F9" s="7" t="s">
        <v>22</v>
      </c>
      <c r="G9" s="7" t="s">
        <v>23</v>
      </c>
      <c r="H9" s="7" t="n">
        <v>600</v>
      </c>
      <c r="I9" s="7" t="n">
        <v>1600</v>
      </c>
      <c r="J9" s="7" t="s">
        <v>30</v>
      </c>
      <c r="K9" s="7" t="s">
        <v>31</v>
      </c>
      <c r="L9" s="7"/>
      <c r="M9" s="7" t="s">
        <v>32</v>
      </c>
    </row>
    <row r="10" customFormat="false" ht="21.75" hidden="false" customHeight="true" outlineLevel="0" collapsed="false">
      <c r="A10" s="8"/>
      <c r="B10" s="8" t="s">
        <v>33</v>
      </c>
      <c r="C10" s="8" t="s">
        <v>34</v>
      </c>
      <c r="D10" s="8" t="s">
        <v>35</v>
      </c>
      <c r="E10" s="8" t="s">
        <v>36</v>
      </c>
      <c r="F10" s="8" t="s">
        <v>37</v>
      </c>
      <c r="G10" s="8" t="s">
        <v>38</v>
      </c>
      <c r="H10" s="8" t="n">
        <v>800</v>
      </c>
      <c r="I10" s="8" t="n">
        <v>2000</v>
      </c>
      <c r="J10" s="8" t="s">
        <v>39</v>
      </c>
      <c r="K10" s="8" t="s">
        <v>40</v>
      </c>
      <c r="L10" s="9" t="s">
        <v>41</v>
      </c>
      <c r="M10" s="8" t="s">
        <v>42</v>
      </c>
    </row>
    <row r="11" customFormat="false" ht="21.75" hidden="false" customHeight="true" outlineLevel="0" collapsed="false">
      <c r="A11" s="7"/>
      <c r="B11" s="7" t="s">
        <v>43</v>
      </c>
      <c r="C11" s="7" t="s">
        <v>44</v>
      </c>
      <c r="D11" s="7" t="s">
        <v>45</v>
      </c>
      <c r="E11" s="7" t="s">
        <v>46</v>
      </c>
      <c r="F11" s="7" t="s">
        <v>22</v>
      </c>
      <c r="G11" s="7" t="s">
        <v>47</v>
      </c>
      <c r="H11" s="7" t="n">
        <v>1500</v>
      </c>
      <c r="I11" s="7" t="n">
        <v>3000</v>
      </c>
      <c r="J11" s="7" t="s">
        <v>48</v>
      </c>
      <c r="K11" s="7" t="s">
        <v>49</v>
      </c>
      <c r="L11" s="7"/>
      <c r="M11" s="7" t="s">
        <v>50</v>
      </c>
    </row>
    <row r="12" customFormat="false" ht="21.75" hidden="false" customHeight="true" outlineLevel="0" collapsed="false">
      <c r="A12" s="7"/>
      <c r="B12" s="7" t="s">
        <v>43</v>
      </c>
      <c r="C12" s="7" t="s">
        <v>51</v>
      </c>
      <c r="D12" s="7" t="s">
        <v>52</v>
      </c>
      <c r="E12" s="7" t="s">
        <v>46</v>
      </c>
      <c r="F12" s="7" t="s">
        <v>53</v>
      </c>
      <c r="G12" s="7" t="s">
        <v>54</v>
      </c>
      <c r="H12" s="7" t="n">
        <v>1500</v>
      </c>
      <c r="I12" s="7" t="n">
        <v>2800</v>
      </c>
      <c r="J12" s="7" t="s">
        <v>48</v>
      </c>
      <c r="K12" s="7" t="s">
        <v>55</v>
      </c>
      <c r="L12" s="7"/>
      <c r="M12" s="7" t="s">
        <v>56</v>
      </c>
    </row>
    <row r="13" customFormat="false" ht="15" hidden="false" customHeight="true" outlineLevel="0" collapsed="false">
      <c r="A13" s="5" t="s">
        <v>57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21.75" hidden="false" customHeight="true" outlineLevel="0" collapsed="false">
      <c r="A14" s="8"/>
      <c r="B14" s="8" t="s">
        <v>58</v>
      </c>
      <c r="C14" s="8" t="s">
        <v>59</v>
      </c>
      <c r="D14" s="8" t="s">
        <v>60</v>
      </c>
      <c r="E14" s="8" t="s">
        <v>61</v>
      </c>
      <c r="F14" s="8" t="s">
        <v>62</v>
      </c>
      <c r="G14" s="8" t="s">
        <v>63</v>
      </c>
      <c r="H14" s="8" t="n">
        <v>300</v>
      </c>
      <c r="I14" s="8" t="n">
        <v>600</v>
      </c>
      <c r="J14" s="8" t="s">
        <v>64</v>
      </c>
      <c r="K14" s="8" t="s">
        <v>65</v>
      </c>
      <c r="L14" s="9" t="s">
        <v>41</v>
      </c>
      <c r="M14" s="8" t="s">
        <v>66</v>
      </c>
    </row>
    <row r="15" customFormat="false" ht="21.75" hidden="false" customHeight="true" outlineLevel="0" collapsed="false">
      <c r="A15" s="7"/>
      <c r="B15" s="7" t="s">
        <v>33</v>
      </c>
      <c r="C15" s="7" t="s">
        <v>67</v>
      </c>
      <c r="D15" s="7" t="s">
        <v>68</v>
      </c>
      <c r="E15" s="7" t="s">
        <v>69</v>
      </c>
      <c r="F15" s="7" t="s">
        <v>70</v>
      </c>
      <c r="G15" s="7" t="s">
        <v>71</v>
      </c>
      <c r="H15" s="7" t="n">
        <v>200</v>
      </c>
      <c r="I15" s="7" t="n">
        <v>450</v>
      </c>
      <c r="J15" s="7" t="s">
        <v>72</v>
      </c>
      <c r="K15" s="7" t="s">
        <v>73</v>
      </c>
      <c r="L15" s="7"/>
      <c r="M15" s="7" t="s">
        <v>74</v>
      </c>
    </row>
    <row r="16" customFormat="false" ht="15" hidden="false" customHeight="true" outlineLevel="0" collapsed="false">
      <c r="A16" s="5" t="s">
        <v>75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21.75" hidden="false" customHeight="true" outlineLevel="0" collapsed="false">
      <c r="A17" s="8"/>
      <c r="B17" s="8" t="s">
        <v>76</v>
      </c>
      <c r="C17" s="8" t="s">
        <v>77</v>
      </c>
      <c r="D17" s="8" t="s">
        <v>78</v>
      </c>
      <c r="E17" s="8" t="s">
        <v>79</v>
      </c>
      <c r="F17" s="8" t="s">
        <v>80</v>
      </c>
      <c r="G17" s="8" t="s">
        <v>81</v>
      </c>
      <c r="H17" s="8" t="n">
        <v>200</v>
      </c>
      <c r="I17" s="8" t="n">
        <v>600</v>
      </c>
      <c r="J17" s="8" t="s">
        <v>82</v>
      </c>
      <c r="K17" s="8" t="s">
        <v>83</v>
      </c>
      <c r="L17" s="9" t="s">
        <v>41</v>
      </c>
      <c r="M17" s="8" t="s">
        <v>84</v>
      </c>
    </row>
    <row r="18" customFormat="false" ht="15" hidden="false" customHeight="true" outlineLevel="0" collapsed="false">
      <c r="A18" s="5" t="s">
        <v>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customFormat="false" ht="21.75" hidden="false" customHeight="true" outlineLevel="0" collapsed="false">
      <c r="A19" s="8"/>
      <c r="B19" s="8" t="s">
        <v>76</v>
      </c>
      <c r="C19" s="8" t="s">
        <v>77</v>
      </c>
      <c r="D19" s="8" t="s">
        <v>86</v>
      </c>
      <c r="E19" s="8" t="s">
        <v>87</v>
      </c>
      <c r="F19" s="8" t="s">
        <v>80</v>
      </c>
      <c r="G19" s="8" t="s">
        <v>88</v>
      </c>
      <c r="H19" s="8" t="n">
        <v>300</v>
      </c>
      <c r="I19" s="8" t="n">
        <v>800</v>
      </c>
      <c r="J19" s="8" t="s">
        <v>82</v>
      </c>
      <c r="K19" s="8" t="s">
        <v>89</v>
      </c>
      <c r="L19" s="9" t="s">
        <v>41</v>
      </c>
      <c r="M19" s="8" t="s">
        <v>90</v>
      </c>
    </row>
    <row r="20" customFormat="false" ht="15" hidden="false" customHeight="true" outlineLevel="0" collapsed="false">
      <c r="A20" s="5" t="s">
        <v>91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21.75" hidden="false" customHeight="true" outlineLevel="0" collapsed="false">
      <c r="A21" s="8"/>
      <c r="B21" s="8" t="s">
        <v>76</v>
      </c>
      <c r="C21" s="8" t="s">
        <v>92</v>
      </c>
      <c r="D21" s="8" t="s">
        <v>93</v>
      </c>
      <c r="E21" s="8" t="s">
        <v>94</v>
      </c>
      <c r="F21" s="8" t="s">
        <v>95</v>
      </c>
      <c r="G21" s="8" t="s">
        <v>96</v>
      </c>
      <c r="H21" s="8" t="n">
        <v>600</v>
      </c>
      <c r="I21" s="8" t="n">
        <v>1800</v>
      </c>
      <c r="J21" s="8" t="s">
        <v>39</v>
      </c>
      <c r="K21" s="8" t="s">
        <v>97</v>
      </c>
      <c r="L21" s="9" t="s">
        <v>41</v>
      </c>
      <c r="M21" s="8" t="s">
        <v>98</v>
      </c>
    </row>
    <row r="22" customFormat="false" ht="15" hidden="false" customHeight="true" outlineLevel="0" collapsed="false">
      <c r="A22" s="7"/>
      <c r="B22" s="7" t="s">
        <v>18</v>
      </c>
      <c r="C22" s="7" t="s">
        <v>99</v>
      </c>
      <c r="D22" s="7" t="s">
        <v>100</v>
      </c>
      <c r="E22" s="7" t="s">
        <v>101</v>
      </c>
      <c r="F22" s="7" t="s">
        <v>80</v>
      </c>
      <c r="G22" s="7" t="s">
        <v>80</v>
      </c>
      <c r="H22" s="7"/>
      <c r="I22" s="7"/>
      <c r="J22" s="7" t="s">
        <v>102</v>
      </c>
      <c r="K22" s="7" t="s">
        <v>103</v>
      </c>
      <c r="L22" s="7"/>
      <c r="M22" s="7" t="s">
        <v>104</v>
      </c>
    </row>
    <row r="23" customFormat="false" ht="15" hidden="false" customHeight="true" outlineLevel="0" collapsed="false">
      <c r="A23" s="5" t="s">
        <v>105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21.75" hidden="false" customHeight="true" outlineLevel="0" collapsed="false">
      <c r="A24" s="8"/>
      <c r="B24" s="8" t="s">
        <v>76</v>
      </c>
      <c r="C24" s="8" t="s">
        <v>106</v>
      </c>
      <c r="D24" s="8" t="s">
        <v>107</v>
      </c>
      <c r="E24" s="8" t="s">
        <v>108</v>
      </c>
      <c r="F24" s="8" t="s">
        <v>80</v>
      </c>
      <c r="G24" s="8" t="s">
        <v>109</v>
      </c>
      <c r="H24" s="8" t="n">
        <v>300</v>
      </c>
      <c r="I24" s="8" t="n">
        <v>800</v>
      </c>
      <c r="J24" s="8" t="s">
        <v>110</v>
      </c>
      <c r="K24" s="8" t="s">
        <v>111</v>
      </c>
      <c r="L24" s="9" t="s">
        <v>41</v>
      </c>
      <c r="M24" s="8" t="s">
        <v>112</v>
      </c>
    </row>
    <row r="25" customFormat="false" ht="15" hidden="false" customHeight="true" outlineLevel="0" collapsed="false">
      <c r="A25" s="5" t="s">
        <v>113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21.75" hidden="false" customHeight="true" outlineLevel="0" collapsed="false">
      <c r="A26" s="8"/>
      <c r="B26" s="8" t="s">
        <v>76</v>
      </c>
      <c r="C26" s="8" t="s">
        <v>114</v>
      </c>
      <c r="D26" s="8" t="s">
        <v>115</v>
      </c>
      <c r="E26" s="8" t="s">
        <v>116</v>
      </c>
      <c r="F26" s="8" t="s">
        <v>117</v>
      </c>
      <c r="G26" s="8" t="s">
        <v>80</v>
      </c>
      <c r="H26" s="8" t="n">
        <v>400</v>
      </c>
      <c r="I26" s="8" t="n">
        <v>1000</v>
      </c>
      <c r="J26" s="8" t="s">
        <v>118</v>
      </c>
      <c r="K26" s="8" t="s">
        <v>119</v>
      </c>
      <c r="L26" s="9" t="s">
        <v>41</v>
      </c>
      <c r="M26" s="8" t="s">
        <v>120</v>
      </c>
    </row>
    <row r="27" customFormat="false" ht="15" hidden="false" customHeight="true" outlineLevel="0" collapsed="false">
      <c r="A27" s="5" t="s">
        <v>121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21.75" hidden="false" customHeight="true" outlineLevel="0" collapsed="false">
      <c r="A28" s="8"/>
      <c r="B28" s="8" t="s">
        <v>76</v>
      </c>
      <c r="C28" s="8" t="s">
        <v>122</v>
      </c>
      <c r="D28" s="8" t="s">
        <v>123</v>
      </c>
      <c r="E28" s="8" t="s">
        <v>124</v>
      </c>
      <c r="F28" s="8" t="s">
        <v>80</v>
      </c>
      <c r="G28" s="8" t="s">
        <v>23</v>
      </c>
      <c r="H28" s="8" t="n">
        <v>400</v>
      </c>
      <c r="I28" s="8" t="n">
        <v>1200</v>
      </c>
      <c r="J28" s="8" t="s">
        <v>125</v>
      </c>
      <c r="K28" s="8" t="s">
        <v>126</v>
      </c>
      <c r="L28" s="9" t="s">
        <v>41</v>
      </c>
      <c r="M28" s="8" t="s">
        <v>127</v>
      </c>
    </row>
    <row r="29" customFormat="false" ht="21.75" hidden="false" customHeight="true" outlineLevel="0" collapsed="false">
      <c r="A29" s="7"/>
      <c r="B29" s="7" t="s">
        <v>76</v>
      </c>
      <c r="C29" s="7" t="s">
        <v>128</v>
      </c>
      <c r="D29" s="7" t="s">
        <v>129</v>
      </c>
      <c r="E29" s="7" t="s">
        <v>130</v>
      </c>
      <c r="F29" s="7" t="s">
        <v>80</v>
      </c>
      <c r="G29" s="7" t="s">
        <v>54</v>
      </c>
      <c r="H29" s="7" t="n">
        <v>250</v>
      </c>
      <c r="I29" s="7" t="n">
        <v>700</v>
      </c>
      <c r="J29" s="7" t="s">
        <v>125</v>
      </c>
      <c r="K29" s="7" t="s">
        <v>131</v>
      </c>
      <c r="L29" s="7"/>
      <c r="M29" s="7" t="s">
        <v>132</v>
      </c>
    </row>
    <row r="31" customFormat="false" ht="15" hidden="false" customHeight="true" outlineLevel="0" collapsed="false">
      <c r="A31" s="10" t="s">
        <v>133</v>
      </c>
      <c r="B31" s="10"/>
      <c r="C31" s="10"/>
      <c r="D31" s="10"/>
      <c r="E31" s="10"/>
      <c r="F31" s="10"/>
      <c r="G31" s="10"/>
      <c r="H31" s="11" t="n">
        <f aca="false">SUMIF(L7:L29,"Y",H7:H29)</f>
        <v>3300</v>
      </c>
      <c r="I31" s="11" t="n">
        <f aca="false">SUMIF(L7:L29,"Y",I7:I29)</f>
        <v>8800</v>
      </c>
      <c r="K31" s="3" t="s">
        <v>134</v>
      </c>
    </row>
  </sheetData>
  <mergeCells count="1"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12" t="s">
        <v>135</v>
      </c>
    </row>
    <row r="2" customFormat="false" ht="15" hidden="false" customHeight="true" outlineLevel="0" collapsed="false">
      <c r="A2" s="13" t="s">
        <v>136</v>
      </c>
    </row>
    <row r="3" customFormat="false" ht="34.5" hidden="false" customHeight="true" outlineLevel="0" collapsed="false">
      <c r="A3" s="14" t="s">
        <v>137</v>
      </c>
    </row>
    <row r="4" customFormat="false" ht="23.25" hidden="false" customHeight="true" outlineLevel="0" collapsed="false">
      <c r="A4" s="14" t="s">
        <v>138</v>
      </c>
    </row>
    <row r="5" customFormat="false" ht="34.5" hidden="false" customHeight="true" outlineLevel="0" collapsed="false">
      <c r="A5" s="14" t="s">
        <v>139</v>
      </c>
    </row>
    <row r="6" customFormat="false" ht="34.5" hidden="false" customHeight="true" outlineLevel="0" collapsed="false">
      <c r="A6" s="14" t="s">
        <v>140</v>
      </c>
    </row>
    <row r="7" customFormat="false" ht="23.25" hidden="false" customHeight="true" outlineLevel="0" collapsed="false">
      <c r="A7" s="14" t="s">
        <v>141</v>
      </c>
    </row>
    <row r="8" customFormat="false" ht="51.75" hidden="false" customHeight="true" outlineLevel="0" collapsed="false">
      <c r="A8" s="13" t="s">
        <v>142</v>
      </c>
    </row>
    <row r="9" customFormat="false" ht="23.25" hidden="false" customHeight="true" outlineLevel="0" collapsed="false">
      <c r="A9" s="14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0"/>
  </cols>
  <sheetData>
    <row r="1" customFormat="false" ht="15" hidden="false" customHeight="true" outlineLevel="0" collapsed="false">
      <c r="A1" s="15" t="s">
        <v>144</v>
      </c>
      <c r="B1" s="15" t="s">
        <v>145</v>
      </c>
    </row>
    <row r="2" customFormat="false" ht="15" hidden="false" customHeight="true" outlineLevel="0" collapsed="false">
      <c r="A2" s="16" t="s">
        <v>146</v>
      </c>
      <c r="B2" s="17" t="s">
        <v>147</v>
      </c>
    </row>
    <row r="3" customFormat="false" ht="15" hidden="false" customHeight="true" outlineLevel="0" collapsed="false">
      <c r="A3" s="16" t="s">
        <v>148</v>
      </c>
      <c r="B3" s="17" t="s">
        <v>149</v>
      </c>
    </row>
    <row r="4" customFormat="false" ht="15" hidden="false" customHeight="true" outlineLevel="0" collapsed="false">
      <c r="A4" s="16" t="s">
        <v>150</v>
      </c>
      <c r="B4" s="17" t="s">
        <v>151</v>
      </c>
    </row>
    <row r="5" customFormat="false" ht="15" hidden="false" customHeight="true" outlineLevel="0" collapsed="false">
      <c r="A5" s="16" t="s">
        <v>152</v>
      </c>
      <c r="B5" s="17" t="s">
        <v>153</v>
      </c>
    </row>
    <row r="6" customFormat="false" ht="15" hidden="false" customHeight="true" outlineLevel="0" collapsed="false">
      <c r="A6" s="16" t="s">
        <v>154</v>
      </c>
      <c r="B6" s="17" t="s">
        <v>155</v>
      </c>
    </row>
    <row r="7" customFormat="false" ht="15" hidden="false" customHeight="true" outlineLevel="0" collapsed="false">
      <c r="A7" s="16" t="s">
        <v>156</v>
      </c>
      <c r="B7" s="17" t="s">
        <v>157</v>
      </c>
    </row>
    <row r="8" customFormat="false" ht="15" hidden="false" customHeight="true" outlineLevel="0" collapsed="false">
      <c r="A8" s="16" t="s">
        <v>158</v>
      </c>
      <c r="B8" s="17" t="s">
        <v>159</v>
      </c>
    </row>
    <row r="9" customFormat="false" ht="15" hidden="false" customHeight="true" outlineLevel="0" collapsed="false">
      <c r="A9" s="16" t="s">
        <v>160</v>
      </c>
      <c r="B9" s="17" t="s">
        <v>161</v>
      </c>
    </row>
    <row r="10" customFormat="false" ht="15" hidden="false" customHeight="true" outlineLevel="0" collapsed="false">
      <c r="A10" s="16" t="s">
        <v>162</v>
      </c>
      <c r="B10" s="17" t="s">
        <v>163</v>
      </c>
    </row>
    <row r="11" customFormat="false" ht="15" hidden="false" customHeight="true" outlineLevel="0" collapsed="false">
      <c r="A11" s="16" t="s">
        <v>164</v>
      </c>
      <c r="B11" s="17" t="s">
        <v>165</v>
      </c>
    </row>
    <row r="12" customFormat="false" ht="15" hidden="false" customHeight="true" outlineLevel="0" collapsed="false">
      <c r="A12" s="16" t="s">
        <v>166</v>
      </c>
      <c r="B12" s="1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2026-06-30T03:15:48Z</dcterms:created>
  <dc:creator>openpyxl</dc:creator>
  <dc:description/>
  <dc:language>en-US</dc:language>
  <cp:lastModifiedBy/>
  <dcterms:modified xsi:type="dcterms:W3CDTF">2026-06-30T03:16:45Z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