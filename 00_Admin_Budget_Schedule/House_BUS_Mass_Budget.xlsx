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Mass Budge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<sst xmlns="http://schemas.openxmlformats.org/spreadsheetml/2006/main" count="170" uniqueCount="122">
  <si>
    <t xml:space="preserve">House BUS - Mass &amp; Payload Summary</t>
  </si>
  <si>
    <t xml:space="preserve">Metric</t>
  </si>
  <si>
    <t xml:space="preserve">Value</t>
  </si>
  <si>
    <t xml:space="preserve">Unit</t>
  </si>
  <si>
    <t xml:space="preserve">Comment</t>
  </si>
  <si>
    <t xml:space="preserve">Curb weight - baseline</t>
  </si>
  <si>
    <t xml:space="preserve">lb</t>
  </si>
  <si>
    <t xml:space="preserve">Conventional steel-heavy build</t>
  </si>
  <si>
    <t xml:space="preserve">Curb weight - optimized</t>
  </si>
  <si>
    <t xml:space="preserve">Advanced-material target</t>
  </si>
  <si>
    <t xml:space="preserve">Reduction vs baseline</t>
  </si>
  <si>
    <t xml:space="preserve">Target 20-25%</t>
  </si>
  <si>
    <t xml:space="preserve">Occupants payload</t>
  </si>
  <si>
    <t xml:space="preserve">Water payload</t>
  </si>
  <si>
    <t xml:space="preserve">Food &amp; provisions</t>
  </si>
  <si>
    <t xml:space="preserve">Personal effects &amp; gear</t>
  </si>
  <si>
    <t xml:space="preserve">Total payload</t>
  </si>
  <si>
    <t xml:space="preserve">Loaded weight (curb + payload)</t>
  </si>
  <si>
    <t xml:space="preserve">GVWR target</t>
  </si>
  <si>
    <t xml:space="preserve">Margin under GVWR</t>
  </si>
  <si>
    <t xml:space="preserve">Positive = within rating</t>
  </si>
  <si>
    <t xml:space="preserve">Margin %</t>
  </si>
  <si>
    <t xml:space="preserve">Curb CG from front</t>
  </si>
  <si>
    <t xml:space="preserve">in</t>
  </si>
  <si>
    <t xml:space="preserve">Lower battery centers it</t>
  </si>
  <si>
    <t xml:space="preserve">Rear axle load (loaded)</t>
  </si>
  <si>
    <t xml:space="preserve">Approx, using curb CG</t>
  </si>
  <si>
    <t xml:space="preserve">Front axle load (loaded)</t>
  </si>
  <si>
    <t xml:space="preserve">Verdict</t>
  </si>
  <si>
    <t xml:space="preserve">v0.1 estimate. Battery (~3,480 lb) is the fixed anchor; the strip comes from structure, body, interior, and wiring. Update component cells as real parts are chosen.</t>
  </si>
  <si>
    <t xml:space="preserve">Mass Budget - Assumptions (edit blue)</t>
  </si>
  <si>
    <t xml:space="preserve">Parameter</t>
  </si>
  <si>
    <t xml:space="preserve">Note</t>
  </si>
  <si>
    <t xml:space="preserve">Class 5 ~19,500; Class 6 ~26,000 - set your target</t>
  </si>
  <si>
    <t xml:space="preserve">Occupants</t>
  </si>
  <si>
    <t xml:space="preserve">persons</t>
  </si>
  <si>
    <t xml:space="preserve">Design occupancy</t>
  </si>
  <si>
    <t xml:space="preserve">Weight per occupant</t>
  </si>
  <si>
    <t xml:space="preserve">Onboard water</t>
  </si>
  <si>
    <t xml:space="preserve">gal</t>
  </si>
  <si>
    <t xml:space="preserve">Drinking + grey, design fill</t>
  </si>
  <si>
    <t xml:space="preserve">Water weight</t>
  </si>
  <si>
    <t xml:space="preserve">lb/gal</t>
  </si>
  <si>
    <t xml:space="preserve">Constant</t>
  </si>
  <si>
    <t xml:space="preserve">Boondocking stores</t>
  </si>
  <si>
    <t xml:space="preserve">Front axle position</t>
  </si>
  <si>
    <t xml:space="preserve">From front bumper, for axle-load split</t>
  </si>
  <si>
    <t xml:space="preserve">Rear axle position</t>
  </si>
  <si>
    <t xml:space="preserve">House BUS - Mass &amp; Payload Budget (v0.1)</t>
  </si>
  <si>
    <t xml:space="preserve">Group</t>
  </si>
  <si>
    <t xml:space="preserve">Component</t>
  </si>
  <si>
    <t xml:space="preserve">Baseline (lb)</t>
  </si>
  <si>
    <t xml:space="preserve">Material strategy</t>
  </si>
  <si>
    <t xml:space="preserve">Optimized (lb)</t>
  </si>
  <si>
    <t xml:space="preserve">Saving (lb)</t>
  </si>
  <si>
    <t xml:space="preserve">CG x (in)</t>
  </si>
  <si>
    <t xml:space="preserve">Moment (lb-in)</t>
  </si>
  <si>
    <t xml:space="preserve">Structure</t>
  </si>
  <si>
    <t xml:space="preserve">Chassis frame / spine</t>
  </si>
  <si>
    <t xml:space="preserve">steel frame -&gt; structural-pack spine + Al/composite stub rails</t>
  </si>
  <si>
    <t xml:space="preserve">Body shell &amp; panels</t>
  </si>
  <si>
    <t xml:space="preserve">steel -&gt; carbon/glass over foam core</t>
  </si>
  <si>
    <t xml:space="preserve">Roof + reinforcement</t>
  </si>
  <si>
    <t xml:space="preserve">steel -&gt; composite + solar mounts</t>
  </si>
  <si>
    <t xml:space="preserve">Insulation (high-R)</t>
  </si>
  <si>
    <t xml:space="preserve">batt -&gt; vacuum panel / aerogel</t>
  </si>
  <si>
    <t xml:space="preserve">Glazing</t>
  </si>
  <si>
    <t xml:space="preserve">glass -&gt; double-layer polycarbonate</t>
  </si>
  <si>
    <t xml:space="preserve">Interior walls / cabinets</t>
  </si>
  <si>
    <t xml:space="preserve">ply+metal -&gt; EPP foam + CF skins</t>
  </si>
  <si>
    <t xml:space="preserve">Flooring</t>
  </si>
  <si>
    <t xml:space="preserve">conventional -&gt; composite</t>
  </si>
  <si>
    <t xml:space="preserve">Running gear</t>
  </si>
  <si>
    <t xml:space="preserve">E-axle + motor + reduction</t>
  </si>
  <si>
    <t xml:space="preserve">efficient single e-axle</t>
  </si>
  <si>
    <t xml:space="preserve">Air suspension</t>
  </si>
  <si>
    <t xml:space="preserve">lightweight air ride</t>
  </si>
  <si>
    <t xml:space="preserve">Wheels &amp; tires</t>
  </si>
  <si>
    <t xml:space="preserve">steel -&gt; alloy, low rolling resistance</t>
  </si>
  <si>
    <t xml:space="preserve">Steering &amp; brakes</t>
  </si>
  <si>
    <t xml:space="preserve">Energy</t>
  </si>
  <si>
    <t xml:space="preserve">Battery pack 300 kWh</t>
  </si>
  <si>
    <t xml:space="preserve">sodium-ion CTP/structural (CATL Naxtra ~175 Wh/kg, mass-prod 2025)</t>
  </si>
  <si>
    <t xml:space="preserve">Power electronics</t>
  </si>
  <si>
    <t xml:space="preserve">inverter / DC-DC</t>
  </si>
  <si>
    <t xml:space="preserve">Wiring &amp; harness</t>
  </si>
  <si>
    <t xml:space="preserve">12V copper -&gt; 48V/800V thin + TE connectors</t>
  </si>
  <si>
    <t xml:space="preserve">Solar (roof + deployable)</t>
  </si>
  <si>
    <t xml:space="preserve">glass -&gt; flexible / semi-flex</t>
  </si>
  <si>
    <t xml:space="preserve">Inverter / charger</t>
  </si>
  <si>
    <t xml:space="preserve">Thermal</t>
  </si>
  <si>
    <t xml:space="preserve">HVAC / heat-pump core</t>
  </si>
  <si>
    <t xml:space="preserve">integrated unit (cool/heat/vent)</t>
  </si>
  <si>
    <t xml:space="preserve">Coolant loop, pumps, buffers</t>
  </si>
  <si>
    <t xml:space="preserve">Diesel CHP genset 3.5 kW</t>
  </si>
  <si>
    <t xml:space="preserve">Hot water tank + drying</t>
  </si>
  <si>
    <t xml:space="preserve">Water</t>
  </si>
  <si>
    <t xml:space="preserve">Water tanks (SS drink + grey)</t>
  </si>
  <si>
    <t xml:space="preserve">smaller closed-loop</t>
  </si>
  <si>
    <t xml:space="preserve">Reticulating shower + filters</t>
  </si>
  <si>
    <t xml:space="preserve">Composting toilet</t>
  </si>
  <si>
    <t xml:space="preserve">Plumbing &amp; pumps</t>
  </si>
  <si>
    <t xml:space="preserve">Habitability</t>
  </si>
  <si>
    <t xml:space="preserve">Fridge / freezer</t>
  </si>
  <si>
    <t xml:space="preserve">efficient DC</t>
  </si>
  <si>
    <t xml:space="preserve">Cooking (induction/microwave)</t>
  </si>
  <si>
    <t xml:space="preserve">Washer / dryer (heat-pump)</t>
  </si>
  <si>
    <t xml:space="preserve">Bed + climate bed</t>
  </si>
  <si>
    <t xml:space="preserve">Furniture &amp; seating</t>
  </si>
  <si>
    <t xml:space="preserve">wood -&gt; foam / composite</t>
  </si>
  <si>
    <t xml:space="preserve">Hydroponics system</t>
  </si>
  <si>
    <t xml:space="preserve">Controls/misc</t>
  </si>
  <si>
    <t xml:space="preserve">Computer, controls, sensors</t>
  </si>
  <si>
    <t xml:space="preserve">Misc hardware &amp; fasteners</t>
  </si>
  <si>
    <t xml:space="preserve">steel -&gt; Al / composite</t>
  </si>
  <si>
    <t xml:space="preserve">TOTAL</t>
  </si>
  <si>
    <t xml:space="preserve">Curb weight - baseline (lb)</t>
  </si>
  <si>
    <t xml:space="preserve">Curb weight - optimized (lb)</t>
  </si>
  <si>
    <t xml:space="preserve">Total mass saved (lb)</t>
  </si>
  <si>
    <t xml:space="preserve">Curb CG from front (in)</t>
  </si>
  <si>
    <t xml:space="preserve">Baseline = a conventional steel-heavy build of the same vehicle. Optimized = advanced-material / smart-engineering target.</t>
  </si>
  <si>
    <t xml:space="preserve">Target: strip 20-25% (TJ). Numbers are editable estimates for a 25-27 ft ground-up EV house bus; refine as parts are sourced.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</si>
</sst>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6F5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6F54"/>
        <bgColor rgb="FF008080"/>
      </patternFill>
    </fill>
    <fill>
      <patternFill patternType="solid">
        <fgColor rgb="FFEAF3EF"/>
        <bgColor rgb="FFD9E8E1"/>
      </patternFill>
    </fill>
    <fill>
      <patternFill patternType="solid">
        <fgColor rgb="FFFFF7D6"/>
        <bgColor rgb="FFEAF3EF"/>
      </patternFill>
    </fill>
    <fill>
      <patternFill patternType="solid">
        <fgColor rgb="FFD9E8E1"/>
        <bgColor rgb="FFEAF3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54"/>
      <rgbColor rgb="FFCCCCCC"/>
      <rgbColor rgb="FF808080"/>
      <rgbColor rgb="FF9999FF"/>
      <rgbColor rgb="FF993366"/>
      <rgbColor rgb="FFFFF7D6"/>
      <rgbColor rgb="FFEAF3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8E1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4" min="4" style="1" width="40"/>
  </cols>
  <sheetData>
    <row r="1" customFormat="false" ht="18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</row>
    <row r="4" customFormat="false" ht="15" hidden="false" customHeight="true" outlineLevel="0" collapsed="false">
      <c r="A4" s="4" t="s">
        <v>5</v>
      </c>
      <c r="B4" s="5" t="n">
        <f aca="false">'Mass Budget'!$C$37</f>
        <v>18240</v>
      </c>
      <c r="C4" s="4" t="s">
        <v>6</v>
      </c>
      <c r="D4" s="6" t="s">
        <v>7</v>
      </c>
    </row>
    <row r="5" customFormat="false" ht="15" hidden="false" customHeight="true" outlineLevel="0" collapsed="false">
      <c r="A5" s="7" t="s">
        <v>8</v>
      </c>
      <c r="B5" s="8" t="n">
        <f aca="false">'Mass Budget'!$C$38</f>
        <v>13270</v>
      </c>
      <c r="C5" s="9" t="s">
        <v>6</v>
      </c>
      <c r="D5" s="10" t="s">
        <v>9</v>
      </c>
    </row>
    <row r="6" customFormat="false" ht="15" hidden="false" customHeight="true" outlineLevel="0" collapsed="false">
      <c r="A6" s="7" t="s">
        <v>10</v>
      </c>
      <c r="B6" s="11" t="n">
        <f aca="false">'Mass Budget'!$C$40</f>
        <v>0.272478070175439</v>
      </c>
      <c r="C6" s="9"/>
      <c r="D6" s="10" t="s">
        <v>11</v>
      </c>
    </row>
    <row r="7" customFormat="false" ht="15" hidden="false" customHeight="true" outlineLevel="0" collapsed="false">
      <c r="A7" s="4" t="s">
        <v>12</v>
      </c>
      <c r="B7" s="12" t="n">
        <f aca="false">Assumptions!$B$5*Assumptions!$B$6</f>
        <v>350</v>
      </c>
      <c r="C7" s="4" t="s">
        <v>6</v>
      </c>
      <c r="D7" s="6"/>
    </row>
    <row r="8" customFormat="false" ht="15" hidden="false" customHeight="true" outlineLevel="0" collapsed="false">
      <c r="A8" s="4" t="s">
        <v>13</v>
      </c>
      <c r="B8" s="12" t="n">
        <f aca="false">Assumptions!$B$7*Assumptions!$B$8</f>
        <v>417</v>
      </c>
      <c r="C8" s="4" t="s">
        <v>6</v>
      </c>
      <c r="D8" s="6"/>
    </row>
    <row r="9" customFormat="false" ht="15" hidden="false" customHeight="true" outlineLevel="0" collapsed="false">
      <c r="A9" s="4" t="s">
        <v>14</v>
      </c>
      <c r="B9" s="12" t="n">
        <f aca="false">Assumptions!$B$9</f>
        <v>500</v>
      </c>
      <c r="C9" s="4" t="s">
        <v>6</v>
      </c>
      <c r="D9" s="6"/>
    </row>
    <row r="10" customFormat="false" ht="15" hidden="false" customHeight="true" outlineLevel="0" collapsed="false">
      <c r="A10" s="4" t="s">
        <v>15</v>
      </c>
      <c r="B10" s="12" t="n">
        <f aca="false">Assumptions!$B$10</f>
        <v>500</v>
      </c>
      <c r="C10" s="4" t="s">
        <v>6</v>
      </c>
      <c r="D10" s="6"/>
    </row>
    <row r="11" customFormat="false" ht="15" hidden="false" customHeight="true" outlineLevel="0" collapsed="false">
      <c r="A11" s="7" t="s">
        <v>16</v>
      </c>
      <c r="B11" s="13" t="n">
        <f aca="false">SUM(B7:B10)</f>
        <v>1767</v>
      </c>
      <c r="C11" s="9" t="s">
        <v>6</v>
      </c>
      <c r="D11" s="10"/>
    </row>
    <row r="12" customFormat="false" ht="15" hidden="false" customHeight="true" outlineLevel="0" collapsed="false">
      <c r="A12" s="7" t="s">
        <v>17</v>
      </c>
      <c r="B12" s="13" t="n">
        <f aca="false">'Mass Budget'!$C$38+B11</f>
        <v>15037</v>
      </c>
      <c r="C12" s="9" t="s">
        <v>6</v>
      </c>
      <c r="D12" s="10"/>
    </row>
    <row r="13" customFormat="false" ht="15" hidden="false" customHeight="true" outlineLevel="0" collapsed="false">
      <c r="A13" s="4" t="s">
        <v>18</v>
      </c>
      <c r="B13" s="12" t="n">
        <f aca="false">Assumptions!$B$4</f>
        <v>19500</v>
      </c>
      <c r="C13" s="4" t="s">
        <v>6</v>
      </c>
      <c r="D13" s="6"/>
    </row>
    <row r="14" customFormat="false" ht="15" hidden="false" customHeight="true" outlineLevel="0" collapsed="false">
      <c r="A14" s="7" t="s">
        <v>19</v>
      </c>
      <c r="B14" s="13" t="n">
        <f aca="false">B13-B12</f>
        <v>4463</v>
      </c>
      <c r="C14" s="9" t="s">
        <v>6</v>
      </c>
      <c r="D14" s="10" t="s">
        <v>20</v>
      </c>
    </row>
    <row r="15" customFormat="false" ht="15" hidden="false" customHeight="true" outlineLevel="0" collapsed="false">
      <c r="A15" s="4" t="s">
        <v>21</v>
      </c>
      <c r="B15" s="14" t="n">
        <f aca="false">B14/B13</f>
        <v>0.228871794871795</v>
      </c>
      <c r="C15" s="4"/>
      <c r="D15" s="6"/>
    </row>
    <row r="16" customFormat="false" ht="15" hidden="false" customHeight="true" outlineLevel="0" collapsed="false">
      <c r="A16" s="4" t="s">
        <v>22</v>
      </c>
      <c r="B16" s="12" t="n">
        <f aca="false">'Mass Budget'!$C$41</f>
        <v>156.21703089676</v>
      </c>
      <c r="C16" s="4" t="s">
        <v>23</v>
      </c>
      <c r="D16" s="6" t="s">
        <v>24</v>
      </c>
    </row>
    <row r="17" customFormat="false" ht="15" hidden="false" customHeight="true" outlineLevel="0" collapsed="false">
      <c r="A17" s="4" t="s">
        <v>25</v>
      </c>
      <c r="B17" s="12" t="n">
        <f aca="false">B12*(B16-Assumptions!$B$11)/(Assumptions!$B$12-Assumptions!$B$11)</f>
        <v>7963.66901711702</v>
      </c>
      <c r="C17" s="4" t="s">
        <v>6</v>
      </c>
      <c r="D17" s="6" t="s">
        <v>26</v>
      </c>
    </row>
    <row r="18" customFormat="false" ht="15" hidden="false" customHeight="true" outlineLevel="0" collapsed="false">
      <c r="A18" s="4" t="s">
        <v>27</v>
      </c>
      <c r="B18" s="12" t="n">
        <f aca="false">B12-B17</f>
        <v>7073.33098288298</v>
      </c>
      <c r="C18" s="4" t="s">
        <v>6</v>
      </c>
      <c r="D18" s="6"/>
    </row>
    <row r="20" customFormat="false" ht="15" hidden="false" customHeight="true" outlineLevel="0" collapsed="false">
      <c r="A20" s="7" t="s">
        <v>28</v>
      </c>
      <c r="B20" s="15" t="str">
        <f aca="false">IF(B14&gt;=0,"Within GVWR by "&amp;TEXT(B14,"#,##0")&amp;" lb","OVER GVWR by "&amp;TEXT(-B14,"#,##0")&amp;" lb")</f>
        <v>Within GVWR by 4,463 lb</v>
      </c>
      <c r="C20" s="16"/>
      <c r="D20" s="16"/>
    </row>
    <row r="22" customFormat="false" ht="15" hidden="false" customHeight="true" outlineLevel="0" collapsed="false">
      <c r="A22" s="17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3" min="2" style="1" width="12"/>
    <col collapsed="false" customWidth="true" hidden="false" outlineLevel="0" max="4" min="4" style="1" width="40"/>
  </cols>
  <sheetData>
    <row r="1" customFormat="false" ht="18" hidden="false" customHeight="true" outlineLevel="0" collapsed="false">
      <c r="A1" s="2" t="s">
        <v>30</v>
      </c>
    </row>
    <row r="3" customFormat="false" ht="15" hidden="false" customHeight="true" outlineLevel="0" collapsed="false">
      <c r="A3" s="3" t="s">
        <v>31</v>
      </c>
      <c r="B3" s="3" t="s">
        <v>2</v>
      </c>
      <c r="C3" s="3" t="s">
        <v>3</v>
      </c>
      <c r="D3" s="3" t="s">
        <v>32</v>
      </c>
    </row>
    <row r="4" customFormat="false" ht="15" hidden="false" customHeight="true" outlineLevel="0" collapsed="false">
      <c r="A4" s="4" t="s">
        <v>18</v>
      </c>
      <c r="B4" s="18" t="n">
        <v>19500</v>
      </c>
      <c r="C4" s="4" t="s">
        <v>6</v>
      </c>
      <c r="D4" s="6" t="s">
        <v>33</v>
      </c>
    </row>
    <row r="5" customFormat="false" ht="15" hidden="false" customHeight="true" outlineLevel="0" collapsed="false">
      <c r="A5" s="4" t="s">
        <v>34</v>
      </c>
      <c r="B5" s="18" t="n">
        <v>2</v>
      </c>
      <c r="C5" s="4" t="s">
        <v>35</v>
      </c>
      <c r="D5" s="6" t="s">
        <v>36</v>
      </c>
    </row>
    <row r="6" customFormat="false" ht="15" hidden="false" customHeight="true" outlineLevel="0" collapsed="false">
      <c r="A6" s="4" t="s">
        <v>37</v>
      </c>
      <c r="B6" s="18" t="n">
        <v>175</v>
      </c>
      <c r="C6" s="4" t="s">
        <v>6</v>
      </c>
      <c r="D6" s="6"/>
    </row>
    <row r="7" customFormat="false" ht="15" hidden="false" customHeight="true" outlineLevel="0" collapsed="false">
      <c r="A7" s="4" t="s">
        <v>38</v>
      </c>
      <c r="B7" s="18" t="n">
        <v>50</v>
      </c>
      <c r="C7" s="4" t="s">
        <v>39</v>
      </c>
      <c r="D7" s="6" t="s">
        <v>40</v>
      </c>
    </row>
    <row r="8" customFormat="false" ht="15" hidden="false" customHeight="true" outlineLevel="0" collapsed="false">
      <c r="A8" s="4" t="s">
        <v>41</v>
      </c>
      <c r="B8" s="18" t="n">
        <v>8.34</v>
      </c>
      <c r="C8" s="4" t="s">
        <v>42</v>
      </c>
      <c r="D8" s="6" t="s">
        <v>43</v>
      </c>
    </row>
    <row r="9" customFormat="false" ht="15" hidden="false" customHeight="true" outlineLevel="0" collapsed="false">
      <c r="A9" s="4" t="s">
        <v>14</v>
      </c>
      <c r="B9" s="18" t="n">
        <v>500</v>
      </c>
      <c r="C9" s="4" t="s">
        <v>6</v>
      </c>
      <c r="D9" s="6" t="s">
        <v>44</v>
      </c>
    </row>
    <row r="10" customFormat="false" ht="15" hidden="false" customHeight="true" outlineLevel="0" collapsed="false">
      <c r="A10" s="4" t="s">
        <v>15</v>
      </c>
      <c r="B10" s="18" t="n">
        <v>500</v>
      </c>
      <c r="C10" s="4" t="s">
        <v>6</v>
      </c>
      <c r="D10" s="6"/>
    </row>
    <row r="11" customFormat="false" ht="15" hidden="false" customHeight="true" outlineLevel="0" collapsed="false">
      <c r="A11" s="4" t="s">
        <v>45</v>
      </c>
      <c r="B11" s="18" t="n">
        <v>45</v>
      </c>
      <c r="C11" s="4" t="s">
        <v>23</v>
      </c>
      <c r="D11" s="6" t="s">
        <v>46</v>
      </c>
    </row>
    <row r="12" customFormat="false" ht="15" hidden="false" customHeight="true" outlineLevel="0" collapsed="false">
      <c r="A12" s="4" t="s">
        <v>47</v>
      </c>
      <c r="B12" s="18" t="n">
        <v>255</v>
      </c>
      <c r="C12" s="4" t="s">
        <v>23</v>
      </c>
      <c r="D12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0"/>
    <col collapsed="false" customWidth="true" hidden="false" outlineLevel="0" max="3" min="3" style="1" width="12"/>
    <col collapsed="false" customWidth="true" hidden="false" outlineLevel="0" max="4" min="4" style="1" width="30"/>
    <col collapsed="false" customWidth="true" hidden="false" outlineLevel="0" max="5" min="5" style="1" width="12"/>
    <col collapsed="false" customWidth="true" hidden="false" outlineLevel="0" max="6" min="6" style="1" width="11"/>
    <col collapsed="false" customWidth="true" hidden="false" outlineLevel="0" max="7" min="7" style="1" width="10"/>
    <col collapsed="false" customWidth="true" hidden="false" outlineLevel="0" max="8" min="8" style="1" width="13"/>
  </cols>
  <sheetData>
    <row r="1" customFormat="false" ht="18" hidden="false" customHeight="true" outlineLevel="0" collapsed="false">
      <c r="A1" s="2" t="s">
        <v>48</v>
      </c>
    </row>
    <row r="2" customFormat="false" ht="26.25" hidden="false" customHeight="true" outlineLevel="0" collapsed="false">
      <c r="A2" s="3" t="s">
        <v>49</v>
      </c>
      <c r="B2" s="3" t="s">
        <v>50</v>
      </c>
      <c r="C2" s="3" t="s">
        <v>51</v>
      </c>
      <c r="D2" s="3" t="s">
        <v>52</v>
      </c>
      <c r="E2" s="3" t="s">
        <v>53</v>
      </c>
      <c r="F2" s="3" t="s">
        <v>54</v>
      </c>
      <c r="G2" s="3" t="s">
        <v>55</v>
      </c>
      <c r="H2" s="3" t="s">
        <v>56</v>
      </c>
    </row>
    <row r="3" customFormat="false" ht="15" hidden="false" customHeight="true" outlineLevel="0" collapsed="false">
      <c r="A3" s="4" t="s">
        <v>57</v>
      </c>
      <c r="B3" s="4" t="s">
        <v>58</v>
      </c>
      <c r="C3" s="18" t="n">
        <v>2500</v>
      </c>
      <c r="D3" s="6" t="s">
        <v>59</v>
      </c>
      <c r="E3" s="18" t="n">
        <v>1400</v>
      </c>
      <c r="F3" s="19" t="n">
        <f aca="false">C3-E3</f>
        <v>1100</v>
      </c>
      <c r="G3" s="18" t="n">
        <v>150</v>
      </c>
      <c r="H3" s="19" t="n">
        <f aca="false">E3*G3</f>
        <v>210000</v>
      </c>
    </row>
    <row r="4" customFormat="false" ht="15" hidden="false" customHeight="true" outlineLevel="0" collapsed="false">
      <c r="A4" s="4" t="s">
        <v>57</v>
      </c>
      <c r="B4" s="4" t="s">
        <v>60</v>
      </c>
      <c r="C4" s="18" t="n">
        <v>2500</v>
      </c>
      <c r="D4" s="6" t="s">
        <v>61</v>
      </c>
      <c r="E4" s="18" t="n">
        <v>1200</v>
      </c>
      <c r="F4" s="19" t="n">
        <f aca="false">C4-E4</f>
        <v>1300</v>
      </c>
      <c r="G4" s="18" t="n">
        <v>150</v>
      </c>
      <c r="H4" s="19" t="n">
        <f aca="false">E4*G4</f>
        <v>180000</v>
      </c>
    </row>
    <row r="5" customFormat="false" ht="15" hidden="false" customHeight="true" outlineLevel="0" collapsed="false">
      <c r="A5" s="4" t="s">
        <v>57</v>
      </c>
      <c r="B5" s="4" t="s">
        <v>62</v>
      </c>
      <c r="C5" s="18" t="n">
        <v>600</v>
      </c>
      <c r="D5" s="6" t="s">
        <v>63</v>
      </c>
      <c r="E5" s="18" t="n">
        <v>350</v>
      </c>
      <c r="F5" s="19" t="n">
        <f aca="false">C5-E5</f>
        <v>250</v>
      </c>
      <c r="G5" s="18" t="n">
        <v>150</v>
      </c>
      <c r="H5" s="19" t="n">
        <f aca="false">E5*G5</f>
        <v>52500</v>
      </c>
    </row>
    <row r="6" customFormat="false" ht="15" hidden="false" customHeight="true" outlineLevel="0" collapsed="false">
      <c r="A6" s="4" t="s">
        <v>57</v>
      </c>
      <c r="B6" s="4" t="s">
        <v>64</v>
      </c>
      <c r="C6" s="18" t="n">
        <v>350</v>
      </c>
      <c r="D6" s="6" t="s">
        <v>65</v>
      </c>
      <c r="E6" s="18" t="n">
        <v>300</v>
      </c>
      <c r="F6" s="19" t="n">
        <f aca="false">C6-E6</f>
        <v>50</v>
      </c>
      <c r="G6" s="18" t="n">
        <v>150</v>
      </c>
      <c r="H6" s="19" t="n">
        <f aca="false">E6*G6</f>
        <v>45000</v>
      </c>
    </row>
    <row r="7" customFormat="false" ht="15" hidden="false" customHeight="true" outlineLevel="0" collapsed="false">
      <c r="A7" s="4" t="s">
        <v>57</v>
      </c>
      <c r="B7" s="4" t="s">
        <v>66</v>
      </c>
      <c r="C7" s="18" t="n">
        <v>350</v>
      </c>
      <c r="D7" s="6" t="s">
        <v>67</v>
      </c>
      <c r="E7" s="18" t="n">
        <v>180</v>
      </c>
      <c r="F7" s="19" t="n">
        <f aca="false">C7-E7</f>
        <v>170</v>
      </c>
      <c r="G7" s="18" t="n">
        <v>150</v>
      </c>
      <c r="H7" s="19" t="n">
        <f aca="false">E7*G7</f>
        <v>27000</v>
      </c>
    </row>
    <row r="8" customFormat="false" ht="15" hidden="false" customHeight="true" outlineLevel="0" collapsed="false">
      <c r="A8" s="4" t="s">
        <v>57</v>
      </c>
      <c r="B8" s="4" t="s">
        <v>68</v>
      </c>
      <c r="C8" s="18" t="n">
        <v>900</v>
      </c>
      <c r="D8" s="6" t="s">
        <v>69</v>
      </c>
      <c r="E8" s="18" t="n">
        <v>350</v>
      </c>
      <c r="F8" s="19" t="n">
        <f aca="false">C8-E8</f>
        <v>550</v>
      </c>
      <c r="G8" s="18" t="n">
        <v>160</v>
      </c>
      <c r="H8" s="19" t="n">
        <f aca="false">E8*G8</f>
        <v>56000</v>
      </c>
    </row>
    <row r="9" customFormat="false" ht="15" hidden="false" customHeight="true" outlineLevel="0" collapsed="false">
      <c r="A9" s="4" t="s">
        <v>57</v>
      </c>
      <c r="B9" s="4" t="s">
        <v>70</v>
      </c>
      <c r="C9" s="18" t="n">
        <v>300</v>
      </c>
      <c r="D9" s="6" t="s">
        <v>71</v>
      </c>
      <c r="E9" s="18" t="n">
        <v>180</v>
      </c>
      <c r="F9" s="19" t="n">
        <f aca="false">C9-E9</f>
        <v>120</v>
      </c>
      <c r="G9" s="18" t="n">
        <v>150</v>
      </c>
      <c r="H9" s="19" t="n">
        <f aca="false">E9*G9</f>
        <v>27000</v>
      </c>
    </row>
    <row r="10" customFormat="false" ht="15" hidden="false" customHeight="true" outlineLevel="0" collapsed="false">
      <c r="A10" s="4" t="s">
        <v>72</v>
      </c>
      <c r="B10" s="4" t="s">
        <v>73</v>
      </c>
      <c r="C10" s="18" t="n">
        <v>1100</v>
      </c>
      <c r="D10" s="6" t="s">
        <v>74</v>
      </c>
      <c r="E10" s="18" t="n">
        <v>950</v>
      </c>
      <c r="F10" s="19" t="n">
        <f aca="false">C10-E10</f>
        <v>150</v>
      </c>
      <c r="G10" s="18" t="n">
        <v>250</v>
      </c>
      <c r="H10" s="19" t="n">
        <f aca="false">E10*G10</f>
        <v>237500</v>
      </c>
    </row>
    <row r="11" customFormat="false" ht="15" hidden="false" customHeight="true" outlineLevel="0" collapsed="false">
      <c r="A11" s="4" t="s">
        <v>72</v>
      </c>
      <c r="B11" s="4" t="s">
        <v>75</v>
      </c>
      <c r="C11" s="18" t="n">
        <v>600</v>
      </c>
      <c r="D11" s="6" t="s">
        <v>76</v>
      </c>
      <c r="E11" s="18" t="n">
        <v>500</v>
      </c>
      <c r="F11" s="19" t="n">
        <f aca="false">C11-E11</f>
        <v>100</v>
      </c>
      <c r="G11" s="18" t="n">
        <v>160</v>
      </c>
      <c r="H11" s="19" t="n">
        <f aca="false">E11*G11</f>
        <v>80000</v>
      </c>
    </row>
    <row r="12" customFormat="false" ht="15" hidden="false" customHeight="true" outlineLevel="0" collapsed="false">
      <c r="A12" s="4" t="s">
        <v>72</v>
      </c>
      <c r="B12" s="4" t="s">
        <v>77</v>
      </c>
      <c r="C12" s="18" t="n">
        <v>600</v>
      </c>
      <c r="D12" s="6" t="s">
        <v>78</v>
      </c>
      <c r="E12" s="18" t="n">
        <v>550</v>
      </c>
      <c r="F12" s="19" t="n">
        <f aca="false">C12-E12</f>
        <v>50</v>
      </c>
      <c r="G12" s="18" t="n">
        <v>150</v>
      </c>
      <c r="H12" s="19" t="n">
        <f aca="false">E12*G12</f>
        <v>82500</v>
      </c>
    </row>
    <row r="13" customFormat="false" ht="15" hidden="false" customHeight="true" outlineLevel="0" collapsed="false">
      <c r="A13" s="4" t="s">
        <v>72</v>
      </c>
      <c r="B13" s="4" t="s">
        <v>79</v>
      </c>
      <c r="C13" s="18" t="n">
        <v>350</v>
      </c>
      <c r="D13" s="6"/>
      <c r="E13" s="18" t="n">
        <v>320</v>
      </c>
      <c r="F13" s="19" t="n">
        <f aca="false">C13-E13</f>
        <v>30</v>
      </c>
      <c r="G13" s="18" t="n">
        <v>110</v>
      </c>
      <c r="H13" s="19" t="n">
        <f aca="false">E13*G13</f>
        <v>35200</v>
      </c>
    </row>
    <row r="14" customFormat="false" ht="15" hidden="false" customHeight="true" outlineLevel="0" collapsed="false">
      <c r="A14" s="4" t="s">
        <v>80</v>
      </c>
      <c r="B14" s="4" t="s">
        <v>81</v>
      </c>
      <c r="C14" s="18" t="n">
        <v>4000</v>
      </c>
      <c r="D14" s="6" t="s">
        <v>82</v>
      </c>
      <c r="E14" s="18" t="n">
        <v>3780</v>
      </c>
      <c r="F14" s="19" t="n">
        <f aca="false">C14-E14</f>
        <v>220</v>
      </c>
      <c r="G14" s="18" t="n">
        <v>150</v>
      </c>
      <c r="H14" s="19" t="n">
        <f aca="false">E14*G14</f>
        <v>567000</v>
      </c>
    </row>
    <row r="15" customFormat="false" ht="15" hidden="false" customHeight="true" outlineLevel="0" collapsed="false">
      <c r="A15" s="4" t="s">
        <v>80</v>
      </c>
      <c r="B15" s="4" t="s">
        <v>83</v>
      </c>
      <c r="C15" s="18" t="n">
        <v>250</v>
      </c>
      <c r="D15" s="6" t="s">
        <v>84</v>
      </c>
      <c r="E15" s="18" t="n">
        <v>200</v>
      </c>
      <c r="F15" s="19" t="n">
        <f aca="false">C15-E15</f>
        <v>50</v>
      </c>
      <c r="G15" s="18" t="n">
        <v>240</v>
      </c>
      <c r="H15" s="19" t="n">
        <f aca="false">E15*G15</f>
        <v>48000</v>
      </c>
    </row>
    <row r="16" customFormat="false" ht="15" hidden="false" customHeight="true" outlineLevel="0" collapsed="false">
      <c r="A16" s="4" t="s">
        <v>80</v>
      </c>
      <c r="B16" s="4" t="s">
        <v>85</v>
      </c>
      <c r="C16" s="18" t="n">
        <v>350</v>
      </c>
      <c r="D16" s="6" t="s">
        <v>86</v>
      </c>
      <c r="E16" s="18" t="n">
        <v>180</v>
      </c>
      <c r="F16" s="19" t="n">
        <f aca="false">C16-E16</f>
        <v>170</v>
      </c>
      <c r="G16" s="18" t="n">
        <v>150</v>
      </c>
      <c r="H16" s="19" t="n">
        <f aca="false">E16*G16</f>
        <v>27000</v>
      </c>
    </row>
    <row r="17" customFormat="false" ht="15" hidden="false" customHeight="true" outlineLevel="0" collapsed="false">
      <c r="A17" s="4" t="s">
        <v>80</v>
      </c>
      <c r="B17" s="4" t="s">
        <v>87</v>
      </c>
      <c r="C17" s="18" t="n">
        <v>350</v>
      </c>
      <c r="D17" s="6" t="s">
        <v>88</v>
      </c>
      <c r="E17" s="18" t="n">
        <v>300</v>
      </c>
      <c r="F17" s="19" t="n">
        <f aca="false">C17-E17</f>
        <v>50</v>
      </c>
      <c r="G17" s="18" t="n">
        <v>150</v>
      </c>
      <c r="H17" s="19" t="n">
        <f aca="false">E17*G17</f>
        <v>45000</v>
      </c>
    </row>
    <row r="18" customFormat="false" ht="15" hidden="false" customHeight="true" outlineLevel="0" collapsed="false">
      <c r="A18" s="4" t="s">
        <v>80</v>
      </c>
      <c r="B18" s="4" t="s">
        <v>89</v>
      </c>
      <c r="C18" s="18" t="n">
        <v>120</v>
      </c>
      <c r="D18" s="6"/>
      <c r="E18" s="18" t="n">
        <v>100</v>
      </c>
      <c r="F18" s="19" t="n">
        <f aca="false">C18-E18</f>
        <v>20</v>
      </c>
      <c r="G18" s="18" t="n">
        <v>200</v>
      </c>
      <c r="H18" s="19" t="n">
        <f aca="false">E18*G18</f>
        <v>20000</v>
      </c>
    </row>
    <row r="19" customFormat="false" ht="15" hidden="false" customHeight="true" outlineLevel="0" collapsed="false">
      <c r="A19" s="4" t="s">
        <v>90</v>
      </c>
      <c r="B19" s="4" t="s">
        <v>91</v>
      </c>
      <c r="C19" s="18" t="n">
        <v>300</v>
      </c>
      <c r="D19" s="6" t="s">
        <v>92</v>
      </c>
      <c r="E19" s="18" t="n">
        <v>280</v>
      </c>
      <c r="F19" s="19" t="n">
        <f aca="false">C19-E19</f>
        <v>20</v>
      </c>
      <c r="G19" s="18" t="n">
        <v>100</v>
      </c>
      <c r="H19" s="19" t="n">
        <f aca="false">E19*G19</f>
        <v>28000</v>
      </c>
    </row>
    <row r="20" customFormat="false" ht="15" hidden="false" customHeight="true" outlineLevel="0" collapsed="false">
      <c r="A20" s="4" t="s">
        <v>90</v>
      </c>
      <c r="B20" s="4" t="s">
        <v>93</v>
      </c>
      <c r="C20" s="18" t="n">
        <v>250</v>
      </c>
      <c r="D20" s="6"/>
      <c r="E20" s="18" t="n">
        <v>200</v>
      </c>
      <c r="F20" s="19" t="n">
        <f aca="false">C20-E20</f>
        <v>50</v>
      </c>
      <c r="G20" s="18" t="n">
        <v>150</v>
      </c>
      <c r="H20" s="19" t="n">
        <f aca="false">E20*G20</f>
        <v>30000</v>
      </c>
    </row>
    <row r="21" customFormat="false" ht="15" hidden="false" customHeight="true" outlineLevel="0" collapsed="false">
      <c r="A21" s="4" t="s">
        <v>90</v>
      </c>
      <c r="B21" s="4" t="s">
        <v>94</v>
      </c>
      <c r="C21" s="18" t="n">
        <v>200</v>
      </c>
      <c r="D21" s="6"/>
      <c r="E21" s="18" t="n">
        <v>180</v>
      </c>
      <c r="F21" s="19" t="n">
        <f aca="false">C21-E21</f>
        <v>20</v>
      </c>
      <c r="G21" s="18" t="n">
        <v>110</v>
      </c>
      <c r="H21" s="19" t="n">
        <f aca="false">E21*G21</f>
        <v>19800</v>
      </c>
    </row>
    <row r="22" customFormat="false" ht="15" hidden="false" customHeight="true" outlineLevel="0" collapsed="false">
      <c r="A22" s="4" t="s">
        <v>90</v>
      </c>
      <c r="B22" s="4" t="s">
        <v>95</v>
      </c>
      <c r="C22" s="18" t="n">
        <v>150</v>
      </c>
      <c r="D22" s="6"/>
      <c r="E22" s="18" t="n">
        <v>120</v>
      </c>
      <c r="F22" s="19" t="n">
        <f aca="false">C22-E22</f>
        <v>30</v>
      </c>
      <c r="G22" s="18" t="n">
        <v>120</v>
      </c>
      <c r="H22" s="19" t="n">
        <f aca="false">E22*G22</f>
        <v>14400</v>
      </c>
    </row>
    <row r="23" customFormat="false" ht="15" hidden="false" customHeight="true" outlineLevel="0" collapsed="false">
      <c r="A23" s="4" t="s">
        <v>96</v>
      </c>
      <c r="B23" s="4" t="s">
        <v>97</v>
      </c>
      <c r="C23" s="18" t="n">
        <v>250</v>
      </c>
      <c r="D23" s="6" t="s">
        <v>98</v>
      </c>
      <c r="E23" s="18" t="n">
        <v>200</v>
      </c>
      <c r="F23" s="19" t="n">
        <f aca="false">C23-E23</f>
        <v>50</v>
      </c>
      <c r="G23" s="18" t="n">
        <v>130</v>
      </c>
      <c r="H23" s="19" t="n">
        <f aca="false">E23*G23</f>
        <v>26000</v>
      </c>
    </row>
    <row r="24" customFormat="false" ht="15" hidden="false" customHeight="true" outlineLevel="0" collapsed="false">
      <c r="A24" s="4" t="s">
        <v>96</v>
      </c>
      <c r="B24" s="4" t="s">
        <v>99</v>
      </c>
      <c r="C24" s="18" t="n">
        <v>90</v>
      </c>
      <c r="D24" s="6"/>
      <c r="E24" s="18" t="n">
        <v>60</v>
      </c>
      <c r="F24" s="19" t="n">
        <f aca="false">C24-E24</f>
        <v>30</v>
      </c>
      <c r="G24" s="18" t="n">
        <v>200</v>
      </c>
      <c r="H24" s="19" t="n">
        <f aca="false">E24*G24</f>
        <v>12000</v>
      </c>
    </row>
    <row r="25" customFormat="false" ht="15" hidden="false" customHeight="true" outlineLevel="0" collapsed="false">
      <c r="A25" s="4" t="s">
        <v>96</v>
      </c>
      <c r="B25" s="4" t="s">
        <v>100</v>
      </c>
      <c r="C25" s="18" t="n">
        <v>60</v>
      </c>
      <c r="D25" s="6"/>
      <c r="E25" s="18" t="n">
        <v>50</v>
      </c>
      <c r="F25" s="19" t="n">
        <f aca="false">C25-E25</f>
        <v>10</v>
      </c>
      <c r="G25" s="18" t="n">
        <v>210</v>
      </c>
      <c r="H25" s="19" t="n">
        <f aca="false">E25*G25</f>
        <v>10500</v>
      </c>
    </row>
    <row r="26" customFormat="false" ht="15" hidden="false" customHeight="true" outlineLevel="0" collapsed="false">
      <c r="A26" s="4" t="s">
        <v>96</v>
      </c>
      <c r="B26" s="4" t="s">
        <v>101</v>
      </c>
      <c r="C26" s="18" t="n">
        <v>120</v>
      </c>
      <c r="D26" s="6"/>
      <c r="E26" s="18" t="n">
        <v>90</v>
      </c>
      <c r="F26" s="19" t="n">
        <f aca="false">C26-E26</f>
        <v>30</v>
      </c>
      <c r="G26" s="18" t="n">
        <v>160</v>
      </c>
      <c r="H26" s="19" t="n">
        <f aca="false">E26*G26</f>
        <v>14400</v>
      </c>
    </row>
    <row r="27" customFormat="false" ht="15" hidden="false" customHeight="true" outlineLevel="0" collapsed="false">
      <c r="A27" s="4" t="s">
        <v>102</v>
      </c>
      <c r="B27" s="4" t="s">
        <v>103</v>
      </c>
      <c r="C27" s="18" t="n">
        <v>200</v>
      </c>
      <c r="D27" s="6" t="s">
        <v>104</v>
      </c>
      <c r="E27" s="18" t="n">
        <v>180</v>
      </c>
      <c r="F27" s="19" t="n">
        <f aca="false">C27-E27</f>
        <v>20</v>
      </c>
      <c r="G27" s="18" t="n">
        <v>90</v>
      </c>
      <c r="H27" s="19" t="n">
        <f aca="false">E27*G27</f>
        <v>16200</v>
      </c>
    </row>
    <row r="28" customFormat="false" ht="15" hidden="false" customHeight="true" outlineLevel="0" collapsed="false">
      <c r="A28" s="4" t="s">
        <v>102</v>
      </c>
      <c r="B28" s="4" t="s">
        <v>105</v>
      </c>
      <c r="C28" s="18" t="n">
        <v>100</v>
      </c>
      <c r="D28" s="6"/>
      <c r="E28" s="18" t="n">
        <v>90</v>
      </c>
      <c r="F28" s="19" t="n">
        <f aca="false">C28-E28</f>
        <v>10</v>
      </c>
      <c r="G28" s="18" t="n">
        <v>90</v>
      </c>
      <c r="H28" s="19" t="n">
        <f aca="false">E28*G28</f>
        <v>8100</v>
      </c>
    </row>
    <row r="29" customFormat="false" ht="15" hidden="false" customHeight="true" outlineLevel="0" collapsed="false">
      <c r="A29" s="4" t="s">
        <v>102</v>
      </c>
      <c r="B29" s="4" t="s">
        <v>106</v>
      </c>
      <c r="C29" s="18" t="n">
        <v>200</v>
      </c>
      <c r="D29" s="6"/>
      <c r="E29" s="18" t="n">
        <v>180</v>
      </c>
      <c r="F29" s="19" t="n">
        <f aca="false">C29-E29</f>
        <v>20</v>
      </c>
      <c r="G29" s="18" t="n">
        <v>110</v>
      </c>
      <c r="H29" s="19" t="n">
        <f aca="false">E29*G29</f>
        <v>19800</v>
      </c>
    </row>
    <row r="30" customFormat="false" ht="15" hidden="false" customHeight="true" outlineLevel="0" collapsed="false">
      <c r="A30" s="4" t="s">
        <v>102</v>
      </c>
      <c r="B30" s="4" t="s">
        <v>107</v>
      </c>
      <c r="C30" s="18" t="n">
        <v>200</v>
      </c>
      <c r="D30" s="6"/>
      <c r="E30" s="18" t="n">
        <v>150</v>
      </c>
      <c r="F30" s="19" t="n">
        <f aca="false">C30-E30</f>
        <v>50</v>
      </c>
      <c r="G30" s="18" t="n">
        <v>270</v>
      </c>
      <c r="H30" s="19" t="n">
        <f aca="false">E30*G30</f>
        <v>40500</v>
      </c>
    </row>
    <row r="31" customFormat="false" ht="15" hidden="false" customHeight="true" outlineLevel="0" collapsed="false">
      <c r="A31" s="4" t="s">
        <v>102</v>
      </c>
      <c r="B31" s="4" t="s">
        <v>108</v>
      </c>
      <c r="C31" s="18" t="n">
        <v>300</v>
      </c>
      <c r="D31" s="6" t="s">
        <v>109</v>
      </c>
      <c r="E31" s="18" t="n">
        <v>180</v>
      </c>
      <c r="F31" s="19" t="n">
        <f aca="false">C31-E31</f>
        <v>120</v>
      </c>
      <c r="G31" s="18" t="n">
        <v>120</v>
      </c>
      <c r="H31" s="19" t="n">
        <f aca="false">E31*G31</f>
        <v>21600</v>
      </c>
    </row>
    <row r="32" customFormat="false" ht="15" hidden="false" customHeight="true" outlineLevel="0" collapsed="false">
      <c r="A32" s="4" t="s">
        <v>102</v>
      </c>
      <c r="B32" s="4" t="s">
        <v>110</v>
      </c>
      <c r="C32" s="18" t="n">
        <v>120</v>
      </c>
      <c r="D32" s="6"/>
      <c r="E32" s="18" t="n">
        <v>100</v>
      </c>
      <c r="F32" s="19" t="n">
        <f aca="false">C32-E32</f>
        <v>20</v>
      </c>
      <c r="G32" s="18" t="n">
        <v>200</v>
      </c>
      <c r="H32" s="19" t="n">
        <f aca="false">E32*G32</f>
        <v>20000</v>
      </c>
    </row>
    <row r="33" customFormat="false" ht="15" hidden="false" customHeight="true" outlineLevel="0" collapsed="false">
      <c r="A33" s="4" t="s">
        <v>111</v>
      </c>
      <c r="B33" s="4" t="s">
        <v>112</v>
      </c>
      <c r="C33" s="18" t="n">
        <v>80</v>
      </c>
      <c r="D33" s="6"/>
      <c r="E33" s="18" t="n">
        <v>70</v>
      </c>
      <c r="F33" s="19" t="n">
        <f aca="false">C33-E33</f>
        <v>10</v>
      </c>
      <c r="G33" s="18" t="n">
        <v>100</v>
      </c>
      <c r="H33" s="19" t="n">
        <f aca="false">E33*G33</f>
        <v>7000</v>
      </c>
    </row>
    <row r="34" customFormat="false" ht="15" hidden="false" customHeight="true" outlineLevel="0" collapsed="false">
      <c r="A34" s="4" t="s">
        <v>111</v>
      </c>
      <c r="B34" s="4" t="s">
        <v>113</v>
      </c>
      <c r="C34" s="18" t="n">
        <v>400</v>
      </c>
      <c r="D34" s="6" t="s">
        <v>114</v>
      </c>
      <c r="E34" s="18" t="n">
        <v>300</v>
      </c>
      <c r="F34" s="19" t="n">
        <f aca="false">C34-E34</f>
        <v>100</v>
      </c>
      <c r="G34" s="18" t="n">
        <v>150</v>
      </c>
      <c r="H34" s="19" t="n">
        <f aca="false">E34*G34</f>
        <v>45000</v>
      </c>
    </row>
    <row r="35" customFormat="false" ht="15" hidden="false" customHeight="true" outlineLevel="0" collapsed="false">
      <c r="A35" s="20"/>
      <c r="B35" s="21" t="s">
        <v>115</v>
      </c>
      <c r="C35" s="21" t="n">
        <f aca="false">SUM(C3:C34)</f>
        <v>18240</v>
      </c>
      <c r="D35" s="20"/>
      <c r="E35" s="21" t="n">
        <f aca="false">SUM(E3:E34)</f>
        <v>13270</v>
      </c>
      <c r="F35" s="21" t="n">
        <f aca="false">SUM(F3:F34)</f>
        <v>4970</v>
      </c>
      <c r="G35" s="20"/>
      <c r="H35" s="21" t="n">
        <f aca="false">SUM(H3:H34)</f>
        <v>2073000</v>
      </c>
    </row>
    <row r="37" customFormat="false" ht="15" hidden="false" customHeight="true" outlineLevel="0" collapsed="false">
      <c r="A37" s="7" t="s">
        <v>116</v>
      </c>
      <c r="B37" s="16"/>
      <c r="C37" s="22" t="n">
        <f aca="false">C35</f>
        <v>18240</v>
      </c>
    </row>
    <row r="38" customFormat="false" ht="15" hidden="false" customHeight="true" outlineLevel="0" collapsed="false">
      <c r="A38" s="7" t="s">
        <v>117</v>
      </c>
      <c r="B38" s="16"/>
      <c r="C38" s="22" t="n">
        <f aca="false">E35</f>
        <v>13270</v>
      </c>
    </row>
    <row r="39" customFormat="false" ht="15" hidden="false" customHeight="true" outlineLevel="0" collapsed="false">
      <c r="A39" s="7" t="s">
        <v>118</v>
      </c>
      <c r="B39" s="16"/>
      <c r="C39" s="22" t="n">
        <f aca="false">F35</f>
        <v>4970</v>
      </c>
    </row>
    <row r="40" customFormat="false" ht="15" hidden="false" customHeight="true" outlineLevel="0" collapsed="false">
      <c r="A40" s="7" t="s">
        <v>10</v>
      </c>
      <c r="B40" s="16"/>
      <c r="C40" s="23" t="n">
        <f aca="false">F35/C35</f>
        <v>0.272478070175439</v>
      </c>
    </row>
    <row r="41" customFormat="false" ht="15" hidden="false" customHeight="true" outlineLevel="0" collapsed="false">
      <c r="A41" s="7" t="s">
        <v>119</v>
      </c>
      <c r="B41" s="16"/>
      <c r="C41" s="22" t="n">
        <f aca="false">H35/E35</f>
        <v>156.21703089676</v>
      </c>
    </row>
    <row r="43" customFormat="false" ht="15" hidden="false" customHeight="true" outlineLevel="0" collapsed="false">
      <c r="A43" s="17" t="s">
        <v>120</v>
      </c>
    </row>
    <row r="44" customFormat="false" ht="15" hidden="false" customHeight="true" outlineLevel="0" collapsed="false">
      <c r="A44" s="17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2026-06-26T16:56:38Z</dcterms:created>
  <dc:creator>openpyxl</dc:creator>
  <dc:description/>
  <dc:language>en-US</dc:language>
  <cp:lastModifiedBy/>
  <dcterms:modified xsi:type="dcterms:W3CDTF">2026-06-29T18:46:30Z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