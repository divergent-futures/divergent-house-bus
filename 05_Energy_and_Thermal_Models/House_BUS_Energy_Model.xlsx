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Electrical Loads" sheetId="3" state="visible" r:id="rId5"/>
    <sheet name="Summer Day" sheetId="4" state="visible" r:id="rId6"/>
    <sheet name="Winter Weekend" sheetId="5" state="visible" r:id="rId7"/>
    <sheet name="Pack &amp; Rang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<sst xmlns="http://schemas.openxmlformats.org/spreadsheetml/2006/main" count="247" uniqueCount="187">
  <si>
    <t xml:space="preserve">House BUS — Energy &amp; Thermal Model (v2)</t>
  </si>
  <si>
    <t xml:space="preserve">Shared 300 kWh structural pack · 25–27 ft + slide-outs · 2 occ · 3.5 kW diesel CHP · ski-weekend winter.</t>
  </si>
  <si>
    <t xml:space="preserve">Metric</t>
  </si>
  <si>
    <t xml:space="preserve">Value</t>
  </si>
  <si>
    <t xml:space="preserve">Unit</t>
  </si>
  <si>
    <t xml:space="preserve">Comment</t>
  </si>
  <si>
    <t xml:space="preserve">Pack</t>
  </si>
  <si>
    <t xml:space="preserve">Usable pack energy</t>
  </si>
  <si>
    <t xml:space="preserve">kWh</t>
  </si>
  <si>
    <t xml:space="preserve">90% of 300 kWh</t>
  </si>
  <si>
    <t xml:space="preserve">House-available (after reserve)</t>
  </si>
  <si>
    <t xml:space="preserve">minus 80 kWh drive floor</t>
  </si>
  <si>
    <t xml:space="preserve">Driving range (usable)</t>
  </si>
  <si>
    <t xml:space="preserve">miles</t>
  </si>
  <si>
    <t xml:space="preserve">at 1.1 kWh/mi</t>
  </si>
  <si>
    <t xml:space="preserve">Summer</t>
  </si>
  <si>
    <t xml:space="preserve">Daily house demand</t>
  </si>
  <si>
    <t xml:space="preserve">kWh/day</t>
  </si>
  <si>
    <t xml:space="preserve">base + cooling</t>
  </si>
  <si>
    <t xml:space="preserve">Solar generation (parked)</t>
  </si>
  <si>
    <t xml:space="preserve">6 kW array</t>
  </si>
  <si>
    <t xml:space="preserve">Net vs solar</t>
  </si>
  <si>
    <t xml:space="preserve">+ = surplus charges pack</t>
  </si>
  <si>
    <t xml:space="preserve">Winter ski weekend</t>
  </si>
  <si>
    <t xml:space="preserve">Total heat demand</t>
  </si>
  <si>
    <t xml:space="preserve">cabin + hot water at −10°C</t>
  </si>
  <si>
    <t xml:space="preserve">Pack-only autonomy</t>
  </si>
  <si>
    <t xml:space="preserve">days</t>
  </si>
  <si>
    <t xml:space="preserve">no genset, with winter solar</t>
  </si>
  <si>
    <t xml:space="preserve">Genset runtime (hold pack)</t>
  </si>
  <si>
    <t xml:space="preserve">h/day</t>
  </si>
  <si>
    <t xml:space="preserve">diesel CHP, net-zero pack</t>
  </si>
  <si>
    <t xml:space="preserve">Diesel use (held)</t>
  </si>
  <si>
    <t xml:space="preserve">L/day</t>
  </si>
  <si>
    <t xml:space="preserve">if staying put indefinitely</t>
  </si>
  <si>
    <t xml:space="preserve">Takeaway</t>
  </si>
  <si>
    <t xml:space="preserve">Design model, not measured. Slide-out thermal bridging is in the U-value; deep-winter full-time living is out of scope by design.</t>
  </si>
  <si>
    <t xml:space="preserve">House BUS — Design Assumptions (v2, locked decisions)</t>
  </si>
  <si>
    <t xml:space="preserve">Edit blue/yellow inputs. Locked: 25–27 ft + slide-outs · 2 occ (4 max) · 800V · ~300 kWh structural pack · 3.5 kW diesel CHP.</t>
  </si>
  <si>
    <t xml:space="preserve">Parameter</t>
  </si>
  <si>
    <t xml:space="preserve">Note</t>
  </si>
  <si>
    <t xml:space="preserve">General &amp; Occupancy</t>
  </si>
  <si>
    <t xml:space="preserve">Occupants (design)</t>
  </si>
  <si>
    <t xml:space="preserve">persons</t>
  </si>
  <si>
    <t xml:space="preserve">Full-time design occupancy</t>
  </si>
  <si>
    <t xml:space="preserve">Occupants (max squeeze)</t>
  </si>
  <si>
    <t xml:space="preserve">Squeeze capacity (e.g. with kids)</t>
  </si>
  <si>
    <t xml:space="preserve">Envelope &amp; Thermal</t>
  </si>
  <si>
    <t xml:space="preserve">Envelope area</t>
  </si>
  <si>
    <t xml:space="preserve">m²</t>
  </si>
  <si>
    <t xml:space="preserve">25–27 ft shell incl. modest slide-outs</t>
  </si>
  <si>
    <t xml:space="preserve">Overall U-value</t>
  </si>
  <si>
    <t xml:space="preserve">W/m²K</t>
  </si>
  <si>
    <t xml:space="preserve">Slightly raised to allow slide-out thermal bridging (accepted)</t>
  </si>
  <si>
    <t xml:space="preserve">UA (heat-loss coeff.)</t>
  </si>
  <si>
    <t xml:space="preserve">W/K</t>
  </si>
  <si>
    <t xml:space="preserve">Heat-loss coefficient = area × U</t>
  </si>
  <si>
    <t xml:space="preserve">Climate Design Points</t>
  </si>
  <si>
    <t xml:space="preserve">Indoor setpoint (winter)</t>
  </si>
  <si>
    <t xml:space="preserve">°C</t>
  </si>
  <si>
    <t xml:space="preserve">Winter indoor setpoint</t>
  </si>
  <si>
    <t xml:space="preserve">Winter design outdoor</t>
  </si>
  <si>
    <t xml:space="preserve">Ski-weekend design low (not full-time deep winter)</t>
  </si>
  <si>
    <t xml:space="preserve">Indoor setpoint (summer)</t>
  </si>
  <si>
    <t xml:space="preserve">Summer indoor setpoint</t>
  </si>
  <si>
    <t xml:space="preserve">Summer design outdoor</t>
  </si>
  <si>
    <t xml:space="preserve">Summer design high</t>
  </si>
  <si>
    <t xml:space="preserve">Summer solar heat gain</t>
  </si>
  <si>
    <t xml:space="preserve">W</t>
  </si>
  <si>
    <t xml:space="preserve">Summer solar gain hours</t>
  </si>
  <si>
    <t xml:space="preserve">h</t>
  </si>
  <si>
    <t xml:space="preserve">Hours of peak solar gain</t>
  </si>
  <si>
    <t xml:space="preserve">Heat Pump</t>
  </si>
  <si>
    <t xml:space="preserve">COP cooling</t>
  </si>
  <si>
    <t xml:space="preserve">–</t>
  </si>
  <si>
    <t xml:space="preserve">COP heating (cold)</t>
  </si>
  <si>
    <t xml:space="preserve">COP heating at the ski-weekend design low</t>
  </si>
  <si>
    <t xml:space="preserve">Domestic Hot Water</t>
  </si>
  <si>
    <t xml:space="preserve">Hot water use</t>
  </si>
  <si>
    <t xml:space="preserve">L/p/day</t>
  </si>
  <si>
    <t xml:space="preserve">Hot water target temp</t>
  </si>
  <si>
    <t xml:space="preserve">Hot water target</t>
  </si>
  <si>
    <t xml:space="preserve">Cold inlet (winter)</t>
  </si>
  <si>
    <t xml:space="preserve">Cold inlet, winter</t>
  </si>
  <si>
    <t xml:space="preserve">Cold inlet (summer)</t>
  </si>
  <si>
    <t xml:space="preserve">Cold inlet, summer</t>
  </si>
  <si>
    <t xml:space="preserve">Water specific heat</t>
  </si>
  <si>
    <t xml:space="preserve">Wh/L/K</t>
  </si>
  <si>
    <t xml:space="preserve">Water specific heat (constant)</t>
  </si>
  <si>
    <t xml:space="preserve">CHP Diesel Genset (winter)</t>
  </si>
  <si>
    <t xml:space="preserve">Genset electrical output</t>
  </si>
  <si>
    <t xml:space="preserve">kW</t>
  </si>
  <si>
    <t xml:space="preserve">Electrical output (3–4 kW class)</t>
  </si>
  <si>
    <t xml:space="preserve">Genset elec. efficiency</t>
  </si>
  <si>
    <t xml:space="preserve">frac</t>
  </si>
  <si>
    <t xml:space="preserve">Diesel→electricity efficiency</t>
  </si>
  <si>
    <t xml:space="preserve">Heat recovery fraction</t>
  </si>
  <si>
    <t xml:space="preserve">Fuel→recovered heat (to pack + cabin via Octovalve loop)</t>
  </si>
  <si>
    <t xml:space="preserve">Diesel energy content</t>
  </si>
  <si>
    <t xml:space="preserve">kWh/L</t>
  </si>
  <si>
    <t xml:space="preserve">Solar</t>
  </si>
  <si>
    <t xml:space="preserve">Roof array (driving)</t>
  </si>
  <si>
    <t xml:space="preserve">Roof array (available while driving)</t>
  </si>
  <si>
    <t xml:space="preserve">Parked total array</t>
  </si>
  <si>
    <t xml:space="preserve">Parked total: roof + deployable + side-wall</t>
  </si>
  <si>
    <t xml:space="preserve">Peak sun hours (summer)</t>
  </si>
  <si>
    <t xml:space="preserve">Peak sun hours, summer (CT/NYC)</t>
  </si>
  <si>
    <t xml:space="preserve">Peak sun hours (winter)</t>
  </si>
  <si>
    <t xml:space="preserve">Peak sun hours, winter</t>
  </si>
  <si>
    <t xml:space="preserve">Solar derate</t>
  </si>
  <si>
    <t xml:space="preserve">System derate</t>
  </si>
  <si>
    <t xml:space="preserve">Shared Structural Battery Pack</t>
  </si>
  <si>
    <t xml:space="preserve">Total pack capacity</t>
  </si>
  <si>
    <t xml:space="preserve">Total pack (sodium structural floor by build time)</t>
  </si>
  <si>
    <t xml:space="preserve">Usable SOC window</t>
  </si>
  <si>
    <t xml:space="preserve">Usable SOC window (5–95%)</t>
  </si>
  <si>
    <t xml:space="preserve">Drive-reserve floor</t>
  </si>
  <si>
    <t xml:space="preserve">Drive-reserve floor — house loads may never touch this</t>
  </si>
  <si>
    <t xml:space="preserve">Vehicle efficiency</t>
  </si>
  <si>
    <t xml:space="preserve">kWh/mi</t>
  </si>
  <si>
    <t xml:space="preserve">Vehicle driving efficiency at cruise</t>
  </si>
  <si>
    <t xml:space="preserve">Base Electrical Loads (full-amenity, non-HVAC)</t>
  </si>
  <si>
    <t xml:space="preserve">Device</t>
  </si>
  <si>
    <t xml:space="preserve">Power (W)</t>
  </si>
  <si>
    <t xml:space="preserve">Hours/day</t>
  </si>
  <si>
    <t xml:space="preserve">Wh/day</t>
  </si>
  <si>
    <t xml:space="preserve">LED lighting</t>
  </si>
  <si>
    <t xml:space="preserve">Fridge (DC compressor)</t>
  </si>
  <si>
    <t xml:space="preserve">Freezer (DC compressor)</t>
  </si>
  <si>
    <t xml:space="preserve">Induction cooking</t>
  </si>
  <si>
    <t xml:space="preserve">Microwave</t>
  </si>
  <si>
    <t xml:space="preserve">Dishwasher (efficient)</t>
  </si>
  <si>
    <t xml:space="preserve">Heat-pump washer/dryer</t>
  </si>
  <si>
    <t xml:space="preserve">Computer (Linux+Win)</t>
  </si>
  <si>
    <t xml:space="preserve">TV / electronics</t>
  </si>
  <si>
    <t xml:space="preserve">Water pumps</t>
  </si>
  <si>
    <t xml:space="preserve">Coolant circulation pumps</t>
  </si>
  <si>
    <t xml:space="preserve">ERV ventilation (heat-recovery)</t>
  </si>
  <si>
    <t xml:space="preserve">Water UV + filter pump</t>
  </si>
  <si>
    <t xml:space="preserve">Hydroponics (LED+pump+air)</t>
  </si>
  <si>
    <t xml:space="preserve">Controls &amp; monitoring</t>
  </si>
  <si>
    <t xml:space="preserve">Standby / misc</t>
  </si>
  <si>
    <t xml:space="preserve">Total (Wh/day)</t>
  </si>
  <si>
    <t xml:space="preserve">Base electric demand (kWh/day)</t>
  </si>
  <si>
    <t xml:space="preserve">Summer Day — off-grid, solar vs. load</t>
  </si>
  <si>
    <t xml:space="preserve">A. Cabin cooling</t>
  </si>
  <si>
    <t xml:space="preserve">ΔT (outdoor − indoor)</t>
  </si>
  <si>
    <t xml:space="preserve">K</t>
  </si>
  <si>
    <t xml:space="preserve">Cabin cooling load</t>
  </si>
  <si>
    <t xml:space="preserve">kWh thermal</t>
  </si>
  <si>
    <t xml:space="preserve">Electricity for cooling</t>
  </si>
  <si>
    <t xml:space="preserve">kWh elec</t>
  </si>
  <si>
    <t xml:space="preserve">B. Hot water from recovered heat</t>
  </si>
  <si>
    <t xml:space="preserve">DHW thermal demand</t>
  </si>
  <si>
    <t xml:space="preserve">Condenser heat available</t>
  </si>
  <si>
    <t xml:space="preserve">DHW electric top-up</t>
  </si>
  <si>
    <t xml:space="preserve">C. Daily balance</t>
  </si>
  <si>
    <t xml:space="preserve">Base electric demand</t>
  </si>
  <si>
    <t xml:space="preserve">Total electric demand</t>
  </si>
  <si>
    <t xml:space="preserve">Net (solar − demand)</t>
  </si>
  <si>
    <t xml:space="preserve">Winter Ski Weekend — heating + diesel CHP</t>
  </si>
  <si>
    <t xml:space="preserve">A. Heat demand</t>
  </si>
  <si>
    <t xml:space="preserve">ΔT (indoor − outdoor)</t>
  </si>
  <si>
    <t xml:space="preserve">Cabin heating load</t>
  </si>
  <si>
    <t xml:space="preserve">B. Pack-only option (no genset)</t>
  </si>
  <si>
    <t xml:space="preserve">Heat-pump electricity for all heat</t>
  </si>
  <si>
    <t xml:space="preserve">Solar generation (winter, parked)</t>
  </si>
  <si>
    <t xml:space="preserve">Net pack draw / day (pack-only)</t>
  </si>
  <si>
    <t xml:space="preserve">C. Diesel CHP option (hold pack at net-zero)</t>
  </si>
  <si>
    <t xml:space="preserve">Heat recovered per genset-hour</t>
  </si>
  <si>
    <t xml:space="preserve">kWh/h</t>
  </si>
  <si>
    <t xml:space="preserve">Genset runtime to net-zero pack</t>
  </si>
  <si>
    <t xml:space="preserve">CHP heat delivered</t>
  </si>
  <si>
    <t xml:space="preserve">Diesel use</t>
  </si>
  <si>
    <t xml:space="preserve">Shared Pack — autonomy &amp; range</t>
  </si>
  <si>
    <t xml:space="preserve">A. Energy split</t>
  </si>
  <si>
    <t xml:space="preserve">House-available (after drive reserve)</t>
  </si>
  <si>
    <t xml:space="preserve">Summer daily house demand</t>
  </si>
  <si>
    <t xml:space="preserve">Winter daily draw (pack-only)</t>
  </si>
  <si>
    <t xml:space="preserve">House autonomy — summer</t>
  </si>
  <si>
    <t xml:space="preserve">House autonomy — winter (pack-only)</t>
  </si>
  <si>
    <t xml:space="preserve">C. With winter solar + genset</t>
  </si>
  <si>
    <t xml:space="preserve">Genset runtime to hold pack</t>
  </si>
  <si>
    <t xml:space="preserve">Diesel per day (held indefinitely)</t>
  </si>
  <si>
    <t xml:space="preserve">D. Driving range</t>
  </si>
  <si>
    <t xml:space="preserve">Range on usable pack</t>
  </si>
  <si>
    <t xml:space="preserve">Range above drive reserve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</si>
</sst>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6F5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6F54"/>
        <bgColor rgb="FF008080"/>
      </patternFill>
    </fill>
    <fill>
      <patternFill patternType="solid">
        <fgColor rgb="FFD9E8E1"/>
        <bgColor rgb="FFEAF3EF"/>
      </patternFill>
    </fill>
    <fill>
      <patternFill patternType="solid">
        <fgColor rgb="FFEAF3EF"/>
        <bgColor rgb="FFD9E8E1"/>
      </patternFill>
    </fill>
    <fill>
      <patternFill patternType="solid">
        <fgColor rgb="FFFFF7D6"/>
        <bgColor rgb="FFEAF3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4"/>
      <rgbColor rgb="FFCCCCCC"/>
      <rgbColor rgb="FF808080"/>
      <rgbColor rgb="FF9999FF"/>
      <rgbColor rgb="FF993366"/>
      <rgbColor rgb="FFFFF7D6"/>
      <rgbColor rgb="FFEAF3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4" min="4" style="0" width="4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/>
      <c r="C5" s="5"/>
      <c r="D5" s="5"/>
    </row>
    <row r="6" customFormat="false" ht="15" hidden="false" customHeight="false" outlineLevel="0" collapsed="false">
      <c r="A6" s="6" t="s">
        <v>7</v>
      </c>
      <c r="B6" s="7" t="n">
        <f aca="false">'Pack &amp; Range'!C4</f>
        <v>270</v>
      </c>
      <c r="C6" s="6" t="s">
        <v>8</v>
      </c>
      <c r="D6" s="8" t="s">
        <v>9</v>
      </c>
    </row>
    <row r="7" customFormat="false" ht="15" hidden="false" customHeight="false" outlineLevel="0" collapsed="false">
      <c r="A7" s="6" t="s">
        <v>10</v>
      </c>
      <c r="B7" s="7" t="n">
        <f aca="false">'Pack &amp; Range'!C5</f>
        <v>190</v>
      </c>
      <c r="C7" s="6" t="s">
        <v>8</v>
      </c>
      <c r="D7" s="8" t="s">
        <v>11</v>
      </c>
    </row>
    <row r="8" customFormat="false" ht="15" hidden="false" customHeight="false" outlineLevel="0" collapsed="false">
      <c r="A8" s="6" t="s">
        <v>12</v>
      </c>
      <c r="B8" s="7" t="n">
        <f aca="false">'Pack &amp; Range'!C14</f>
        <v>245.454545454545</v>
      </c>
      <c r="C8" s="6" t="s">
        <v>13</v>
      </c>
      <c r="D8" s="8" t="s">
        <v>14</v>
      </c>
    </row>
    <row r="9" customFormat="false" ht="15" hidden="false" customHeight="false" outlineLevel="0" collapsed="false">
      <c r="A9" s="4" t="s">
        <v>15</v>
      </c>
      <c r="B9" s="5"/>
      <c r="C9" s="5"/>
      <c r="D9" s="5"/>
    </row>
    <row r="10" customFormat="false" ht="15" hidden="false" customHeight="false" outlineLevel="0" collapsed="false">
      <c r="A10" s="6" t="s">
        <v>16</v>
      </c>
      <c r="B10" s="7" t="n">
        <f aca="false">'Summer Day'!C13</f>
        <v>15.2582</v>
      </c>
      <c r="C10" s="6" t="s">
        <v>17</v>
      </c>
      <c r="D10" s="8" t="s">
        <v>18</v>
      </c>
    </row>
    <row r="11" customFormat="false" ht="15" hidden="false" customHeight="false" outlineLevel="0" collapsed="false">
      <c r="A11" s="6" t="s">
        <v>19</v>
      </c>
      <c r="B11" s="7" t="n">
        <f aca="false">'Summer Day'!C14</f>
        <v>26.076</v>
      </c>
      <c r="C11" s="6" t="s">
        <v>17</v>
      </c>
      <c r="D11" s="8" t="s">
        <v>20</v>
      </c>
    </row>
    <row r="12" customFormat="false" ht="15" hidden="false" customHeight="false" outlineLevel="0" collapsed="false">
      <c r="A12" s="6" t="s">
        <v>21</v>
      </c>
      <c r="B12" s="7" t="n">
        <f aca="false">'Summer Day'!C15</f>
        <v>10.8178</v>
      </c>
      <c r="C12" s="6" t="s">
        <v>17</v>
      </c>
      <c r="D12" s="8" t="s">
        <v>22</v>
      </c>
    </row>
    <row r="13" customFormat="false" ht="15" hidden="false" customHeight="false" outlineLevel="0" collapsed="false">
      <c r="A13" s="4" t="s">
        <v>23</v>
      </c>
      <c r="B13" s="5"/>
      <c r="C13" s="5"/>
      <c r="D13" s="5"/>
    </row>
    <row r="14" customFormat="false" ht="15" hidden="false" customHeight="false" outlineLevel="0" collapsed="false">
      <c r="A14" s="6" t="s">
        <v>24</v>
      </c>
      <c r="B14" s="7" t="n">
        <f aca="false">'Winter Weekend'!C7</f>
        <v>32.9536</v>
      </c>
      <c r="C14" s="6" t="s">
        <v>17</v>
      </c>
      <c r="D14" s="8" t="s">
        <v>25</v>
      </c>
    </row>
    <row r="15" customFormat="false" ht="15" hidden="false" customHeight="false" outlineLevel="0" collapsed="false">
      <c r="A15" s="6" t="s">
        <v>26</v>
      </c>
      <c r="B15" s="7" t="n">
        <f aca="false">'Pack &amp; Range'!C9</f>
        <v>12.7603196795878</v>
      </c>
      <c r="C15" s="6" t="s">
        <v>27</v>
      </c>
      <c r="D15" s="8" t="s">
        <v>28</v>
      </c>
    </row>
    <row r="16" customFormat="false" ht="15" hidden="false" customHeight="false" outlineLevel="0" collapsed="false">
      <c r="A16" s="6" t="s">
        <v>29</v>
      </c>
      <c r="B16" s="7" t="n">
        <f aca="false">'Winter Weekend'!C15</f>
        <v>2.32050531286895</v>
      </c>
      <c r="C16" s="6" t="s">
        <v>30</v>
      </c>
      <c r="D16" s="8" t="s">
        <v>31</v>
      </c>
    </row>
    <row r="17" customFormat="false" ht="15" hidden="false" customHeight="false" outlineLevel="0" collapsed="false">
      <c r="A17" s="6" t="s">
        <v>32</v>
      </c>
      <c r="B17" s="7" t="n">
        <f aca="false">'Winter Weekend'!C17</f>
        <v>2.70725619834711</v>
      </c>
      <c r="C17" s="6" t="s">
        <v>33</v>
      </c>
      <c r="D17" s="8" t="s">
        <v>34</v>
      </c>
    </row>
    <row r="19" customFormat="false" ht="15" hidden="false" customHeight="false" outlineLevel="0" collapsed="false">
      <c r="A19" s="9" t="s">
        <v>35</v>
      </c>
      <c r="B19" s="10" t="str">
        <f aca="false">"Pack alone covers ~"&amp;TEXT('Pack &amp; Range'!C9,"0")&amp;" winter days; genset only needed for longer/colder stays."</f>
        <v>Pack alone covers ~13 winter days; genset only needed for longer/colder stays.</v>
      </c>
      <c r="C19" s="11"/>
      <c r="D19" s="11"/>
    </row>
    <row r="21" customFormat="false" ht="15" hidden="false" customHeight="false" outlineLevel="0" collapsed="false">
      <c r="A21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50"/>
  </cols>
  <sheetData>
    <row r="1" customFormat="false" ht="19.7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3" customFormat="false" ht="15" hidden="false" customHeight="false" outlineLevel="0" collapsed="false">
      <c r="A3" s="3" t="s">
        <v>39</v>
      </c>
      <c r="B3" s="3" t="s">
        <v>3</v>
      </c>
      <c r="C3" s="3" t="s">
        <v>4</v>
      </c>
      <c r="D3" s="3" t="s">
        <v>40</v>
      </c>
    </row>
    <row r="4" customFormat="false" ht="15" hidden="false" customHeight="false" outlineLevel="0" collapsed="false">
      <c r="A4" s="4" t="s">
        <v>41</v>
      </c>
      <c r="B4" s="5"/>
      <c r="C4" s="5"/>
      <c r="D4" s="5"/>
    </row>
    <row r="5" customFormat="false" ht="15" hidden="false" customHeight="false" outlineLevel="0" collapsed="false">
      <c r="A5" s="6" t="s">
        <v>42</v>
      </c>
      <c r="B5" s="12" t="n">
        <v>2</v>
      </c>
      <c r="C5" s="6" t="s">
        <v>43</v>
      </c>
      <c r="D5" s="8" t="s">
        <v>44</v>
      </c>
    </row>
    <row r="6" customFormat="false" ht="15" hidden="false" customHeight="false" outlineLevel="0" collapsed="false">
      <c r="A6" s="6" t="s">
        <v>45</v>
      </c>
      <c r="B6" s="12" t="n">
        <v>4</v>
      </c>
      <c r="C6" s="6" t="s">
        <v>43</v>
      </c>
      <c r="D6" s="8" t="s">
        <v>46</v>
      </c>
    </row>
    <row r="7" customFormat="false" ht="15" hidden="false" customHeight="false" outlineLevel="0" collapsed="false">
      <c r="A7" s="4" t="s">
        <v>47</v>
      </c>
      <c r="B7" s="5"/>
      <c r="C7" s="5"/>
      <c r="D7" s="5"/>
    </row>
    <row r="8" customFormat="false" ht="15" hidden="false" customHeight="false" outlineLevel="0" collapsed="false">
      <c r="A8" s="6" t="s">
        <v>48</v>
      </c>
      <c r="B8" s="12" t="n">
        <v>58</v>
      </c>
      <c r="C8" s="6" t="s">
        <v>49</v>
      </c>
      <c r="D8" s="8" t="s">
        <v>50</v>
      </c>
    </row>
    <row r="9" customFormat="false" ht="15" hidden="false" customHeight="false" outlineLevel="0" collapsed="false">
      <c r="A9" s="6" t="s">
        <v>51</v>
      </c>
      <c r="B9" s="12" t="n">
        <v>0.7</v>
      </c>
      <c r="C9" s="6" t="s">
        <v>52</v>
      </c>
      <c r="D9" s="8" t="s">
        <v>53</v>
      </c>
    </row>
    <row r="10" customFormat="false" ht="15" hidden="false" customHeight="false" outlineLevel="0" collapsed="false">
      <c r="A10" s="6" t="s">
        <v>54</v>
      </c>
      <c r="B10" s="13" t="n">
        <f aca="false">B8*B9</f>
        <v>40.6</v>
      </c>
      <c r="C10" s="6" t="s">
        <v>55</v>
      </c>
      <c r="D10" s="8" t="s">
        <v>56</v>
      </c>
    </row>
    <row r="11" customFormat="false" ht="15" hidden="false" customHeight="false" outlineLevel="0" collapsed="false">
      <c r="A11" s="4" t="s">
        <v>57</v>
      </c>
      <c r="B11" s="5"/>
      <c r="C11" s="5"/>
      <c r="D11" s="5"/>
    </row>
    <row r="12" customFormat="false" ht="15" hidden="false" customHeight="false" outlineLevel="0" collapsed="false">
      <c r="A12" s="6" t="s">
        <v>58</v>
      </c>
      <c r="B12" s="12" t="n">
        <v>20</v>
      </c>
      <c r="C12" s="6" t="s">
        <v>59</v>
      </c>
      <c r="D12" s="8" t="s">
        <v>60</v>
      </c>
    </row>
    <row r="13" customFormat="false" ht="15" hidden="false" customHeight="false" outlineLevel="0" collapsed="false">
      <c r="A13" s="6" t="s">
        <v>61</v>
      </c>
      <c r="B13" s="12" t="n">
        <v>-10</v>
      </c>
      <c r="C13" s="6" t="s">
        <v>59</v>
      </c>
      <c r="D13" s="8" t="s">
        <v>62</v>
      </c>
    </row>
    <row r="14" customFormat="false" ht="15" hidden="false" customHeight="false" outlineLevel="0" collapsed="false">
      <c r="A14" s="6" t="s">
        <v>63</v>
      </c>
      <c r="B14" s="12" t="n">
        <v>24</v>
      </c>
      <c r="C14" s="6" t="s">
        <v>59</v>
      </c>
      <c r="D14" s="8" t="s">
        <v>64</v>
      </c>
    </row>
    <row r="15" customFormat="false" ht="15" hidden="false" customHeight="false" outlineLevel="0" collapsed="false">
      <c r="A15" s="6" t="s">
        <v>65</v>
      </c>
      <c r="B15" s="12" t="n">
        <v>33</v>
      </c>
      <c r="C15" s="6" t="s">
        <v>59</v>
      </c>
      <c r="D15" s="8" t="s">
        <v>66</v>
      </c>
    </row>
    <row r="16" customFormat="false" ht="15" hidden="false" customHeight="false" outlineLevel="0" collapsed="false">
      <c r="A16" s="6" t="s">
        <v>67</v>
      </c>
      <c r="B16" s="12" t="n">
        <v>600</v>
      </c>
      <c r="C16" s="6" t="s">
        <v>68</v>
      </c>
      <c r="D16" s="8" t="s">
        <v>67</v>
      </c>
    </row>
    <row r="17" customFormat="false" ht="15" hidden="false" customHeight="false" outlineLevel="0" collapsed="false">
      <c r="A17" s="6" t="s">
        <v>69</v>
      </c>
      <c r="B17" s="12" t="n">
        <v>8</v>
      </c>
      <c r="C17" s="6" t="s">
        <v>70</v>
      </c>
      <c r="D17" s="8" t="s">
        <v>71</v>
      </c>
    </row>
    <row r="18" customFormat="false" ht="15" hidden="false" customHeight="false" outlineLevel="0" collapsed="false">
      <c r="A18" s="4" t="s">
        <v>72</v>
      </c>
      <c r="B18" s="5"/>
      <c r="C18" s="5"/>
      <c r="D18" s="5"/>
    </row>
    <row r="19" customFormat="false" ht="15" hidden="false" customHeight="false" outlineLevel="0" collapsed="false">
      <c r="A19" s="6" t="s">
        <v>73</v>
      </c>
      <c r="B19" s="12" t="n">
        <v>3</v>
      </c>
      <c r="C19" s="6" t="s">
        <v>74</v>
      </c>
      <c r="D19" s="8" t="s">
        <v>73</v>
      </c>
    </row>
    <row r="20" customFormat="false" ht="15" hidden="false" customHeight="false" outlineLevel="0" collapsed="false">
      <c r="A20" s="6" t="s">
        <v>75</v>
      </c>
      <c r="B20" s="12" t="n">
        <v>2.2</v>
      </c>
      <c r="C20" s="6" t="s">
        <v>74</v>
      </c>
      <c r="D20" s="8" t="s">
        <v>76</v>
      </c>
    </row>
    <row r="21" customFormat="false" ht="15" hidden="false" customHeight="false" outlineLevel="0" collapsed="false">
      <c r="A21" s="4" t="s">
        <v>77</v>
      </c>
      <c r="B21" s="5"/>
      <c r="C21" s="5"/>
      <c r="D21" s="5"/>
    </row>
    <row r="22" customFormat="false" ht="15" hidden="false" customHeight="false" outlineLevel="0" collapsed="false">
      <c r="A22" s="6" t="s">
        <v>78</v>
      </c>
      <c r="B22" s="12" t="n">
        <v>40</v>
      </c>
      <c r="C22" s="6" t="s">
        <v>79</v>
      </c>
      <c r="D22" s="8" t="s">
        <v>78</v>
      </c>
    </row>
    <row r="23" customFormat="false" ht="15" hidden="false" customHeight="false" outlineLevel="0" collapsed="false">
      <c r="A23" s="6" t="s">
        <v>80</v>
      </c>
      <c r="B23" s="12" t="n">
        <v>48</v>
      </c>
      <c r="C23" s="6" t="s">
        <v>59</v>
      </c>
      <c r="D23" s="8" t="s">
        <v>81</v>
      </c>
    </row>
    <row r="24" customFormat="false" ht="15" hidden="false" customHeight="false" outlineLevel="0" collapsed="false">
      <c r="A24" s="6" t="s">
        <v>82</v>
      </c>
      <c r="B24" s="12" t="n">
        <v>8</v>
      </c>
      <c r="C24" s="6" t="s">
        <v>59</v>
      </c>
      <c r="D24" s="8" t="s">
        <v>83</v>
      </c>
    </row>
    <row r="25" customFormat="false" ht="15" hidden="false" customHeight="false" outlineLevel="0" collapsed="false">
      <c r="A25" s="6" t="s">
        <v>84</v>
      </c>
      <c r="B25" s="12" t="n">
        <v>15</v>
      </c>
      <c r="C25" s="6" t="s">
        <v>59</v>
      </c>
      <c r="D25" s="8" t="s">
        <v>85</v>
      </c>
    </row>
    <row r="26" customFormat="false" ht="15" hidden="false" customHeight="false" outlineLevel="0" collapsed="false">
      <c r="A26" s="6" t="s">
        <v>86</v>
      </c>
      <c r="B26" s="12" t="n">
        <v>1.163</v>
      </c>
      <c r="C26" s="6" t="s">
        <v>87</v>
      </c>
      <c r="D26" s="8" t="s">
        <v>88</v>
      </c>
    </row>
    <row r="27" customFormat="false" ht="15" hidden="false" customHeight="false" outlineLevel="0" collapsed="false">
      <c r="A27" s="4" t="s">
        <v>89</v>
      </c>
      <c r="B27" s="5"/>
      <c r="C27" s="5"/>
      <c r="D27" s="5"/>
    </row>
    <row r="28" customFormat="false" ht="15" hidden="false" customHeight="false" outlineLevel="0" collapsed="false">
      <c r="A28" s="6" t="s">
        <v>90</v>
      </c>
      <c r="B28" s="12" t="n">
        <v>3.5</v>
      </c>
      <c r="C28" s="6" t="s">
        <v>91</v>
      </c>
      <c r="D28" s="8" t="s">
        <v>92</v>
      </c>
    </row>
    <row r="29" customFormat="false" ht="15" hidden="false" customHeight="false" outlineLevel="0" collapsed="false">
      <c r="A29" s="6" t="s">
        <v>93</v>
      </c>
      <c r="B29" s="12" t="n">
        <v>0.3</v>
      </c>
      <c r="C29" s="6" t="s">
        <v>94</v>
      </c>
      <c r="D29" s="8" t="s">
        <v>95</v>
      </c>
    </row>
    <row r="30" customFormat="false" ht="15" hidden="false" customHeight="false" outlineLevel="0" collapsed="false">
      <c r="A30" s="6" t="s">
        <v>96</v>
      </c>
      <c r="B30" s="12" t="n">
        <v>0.55</v>
      </c>
      <c r="C30" s="6" t="s">
        <v>94</v>
      </c>
      <c r="D30" s="8" t="s">
        <v>97</v>
      </c>
    </row>
    <row r="31" customFormat="false" ht="15" hidden="false" customHeight="false" outlineLevel="0" collapsed="false">
      <c r="A31" s="6" t="s">
        <v>98</v>
      </c>
      <c r="B31" s="12" t="n">
        <v>10</v>
      </c>
      <c r="C31" s="6" t="s">
        <v>99</v>
      </c>
      <c r="D31" s="8" t="s">
        <v>98</v>
      </c>
    </row>
    <row r="32" customFormat="false" ht="15" hidden="false" customHeight="false" outlineLevel="0" collapsed="false">
      <c r="A32" s="4" t="s">
        <v>100</v>
      </c>
      <c r="B32" s="5"/>
      <c r="C32" s="5"/>
      <c r="D32" s="5"/>
    </row>
    <row r="33" customFormat="false" ht="15" hidden="false" customHeight="false" outlineLevel="0" collapsed="false">
      <c r="A33" s="6" t="s">
        <v>101</v>
      </c>
      <c r="B33" s="12" t="n">
        <v>3.5</v>
      </c>
      <c r="C33" s="6" t="s">
        <v>91</v>
      </c>
      <c r="D33" s="8" t="s">
        <v>102</v>
      </c>
    </row>
    <row r="34" customFormat="false" ht="15" hidden="false" customHeight="false" outlineLevel="0" collapsed="false">
      <c r="A34" s="6" t="s">
        <v>103</v>
      </c>
      <c r="B34" s="12" t="n">
        <v>6</v>
      </c>
      <c r="C34" s="6" t="s">
        <v>91</v>
      </c>
      <c r="D34" s="8" t="s">
        <v>104</v>
      </c>
    </row>
    <row r="35" customFormat="false" ht="15" hidden="false" customHeight="false" outlineLevel="0" collapsed="false">
      <c r="A35" s="6" t="s">
        <v>105</v>
      </c>
      <c r="B35" s="12" t="n">
        <v>5.3</v>
      </c>
      <c r="C35" s="6" t="s">
        <v>30</v>
      </c>
      <c r="D35" s="8" t="s">
        <v>106</v>
      </c>
    </row>
    <row r="36" customFormat="false" ht="15" hidden="false" customHeight="false" outlineLevel="0" collapsed="false">
      <c r="A36" s="6" t="s">
        <v>107</v>
      </c>
      <c r="B36" s="12" t="n">
        <v>2.2</v>
      </c>
      <c r="C36" s="6" t="s">
        <v>30</v>
      </c>
      <c r="D36" s="8" t="s">
        <v>108</v>
      </c>
    </row>
    <row r="37" customFormat="false" ht="15" hidden="false" customHeight="false" outlineLevel="0" collapsed="false">
      <c r="A37" s="6" t="s">
        <v>109</v>
      </c>
      <c r="B37" s="12" t="n">
        <v>0.82</v>
      </c>
      <c r="C37" s="6" t="s">
        <v>94</v>
      </c>
      <c r="D37" s="8" t="s">
        <v>110</v>
      </c>
    </row>
    <row r="38" customFormat="false" ht="15" hidden="false" customHeight="false" outlineLevel="0" collapsed="false">
      <c r="A38" s="4" t="s">
        <v>111</v>
      </c>
      <c r="B38" s="5"/>
      <c r="C38" s="5"/>
      <c r="D38" s="5"/>
    </row>
    <row r="39" customFormat="false" ht="15" hidden="false" customHeight="false" outlineLevel="0" collapsed="false">
      <c r="A39" s="6" t="s">
        <v>112</v>
      </c>
      <c r="B39" s="12" t="n">
        <v>300</v>
      </c>
      <c r="C39" s="6" t="s">
        <v>8</v>
      </c>
      <c r="D39" s="8" t="s">
        <v>113</v>
      </c>
    </row>
    <row r="40" customFormat="false" ht="15" hidden="false" customHeight="false" outlineLevel="0" collapsed="false">
      <c r="A40" s="6" t="s">
        <v>114</v>
      </c>
      <c r="B40" s="12" t="n">
        <v>0.9</v>
      </c>
      <c r="C40" s="6" t="s">
        <v>94</v>
      </c>
      <c r="D40" s="8" t="s">
        <v>115</v>
      </c>
    </row>
    <row r="41" customFormat="false" ht="15" hidden="false" customHeight="false" outlineLevel="0" collapsed="false">
      <c r="A41" s="6" t="s">
        <v>116</v>
      </c>
      <c r="B41" s="12" t="n">
        <v>80</v>
      </c>
      <c r="C41" s="6" t="s">
        <v>8</v>
      </c>
      <c r="D41" s="8" t="s">
        <v>117</v>
      </c>
    </row>
    <row r="42" customFormat="false" ht="15" hidden="false" customHeight="false" outlineLevel="0" collapsed="false">
      <c r="A42" s="6" t="s">
        <v>118</v>
      </c>
      <c r="B42" s="12" t="n">
        <v>1.1</v>
      </c>
      <c r="C42" s="6" t="s">
        <v>119</v>
      </c>
      <c r="D42" s="8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121</v>
      </c>
    </row>
    <row r="2" customFormat="false" ht="15" hidden="false" customHeight="false" outlineLevel="0" collapsed="false">
      <c r="A2" s="3" t="s">
        <v>122</v>
      </c>
      <c r="B2" s="3" t="s">
        <v>123</v>
      </c>
      <c r="C2" s="3" t="s">
        <v>124</v>
      </c>
      <c r="D2" s="3" t="s">
        <v>125</v>
      </c>
    </row>
    <row r="3" customFormat="false" ht="15" hidden="false" customHeight="false" outlineLevel="0" collapsed="false">
      <c r="A3" s="14" t="s">
        <v>126</v>
      </c>
      <c r="B3" s="12" t="n">
        <v>50</v>
      </c>
      <c r="C3" s="12" t="n">
        <v>5</v>
      </c>
      <c r="D3" s="13" t="n">
        <f aca="false">B3*C3</f>
        <v>250</v>
      </c>
    </row>
    <row r="4" customFormat="false" ht="15" hidden="false" customHeight="false" outlineLevel="0" collapsed="false">
      <c r="A4" s="14" t="s">
        <v>127</v>
      </c>
      <c r="B4" s="12" t="n">
        <v>50</v>
      </c>
      <c r="C4" s="12" t="n">
        <v>24</v>
      </c>
      <c r="D4" s="13" t="n">
        <f aca="false">B4*C4</f>
        <v>1200</v>
      </c>
    </row>
    <row r="5" customFormat="false" ht="15" hidden="false" customHeight="false" outlineLevel="0" collapsed="false">
      <c r="A5" s="14" t="s">
        <v>128</v>
      </c>
      <c r="B5" s="12" t="n">
        <v>45</v>
      </c>
      <c r="C5" s="12" t="n">
        <v>24</v>
      </c>
      <c r="D5" s="13" t="n">
        <f aca="false">B5*C5</f>
        <v>1080</v>
      </c>
    </row>
    <row r="6" customFormat="false" ht="15" hidden="false" customHeight="false" outlineLevel="0" collapsed="false">
      <c r="A6" s="14" t="s">
        <v>129</v>
      </c>
      <c r="B6" s="12" t="n">
        <v>1800</v>
      </c>
      <c r="C6" s="12" t="n">
        <v>0.8</v>
      </c>
      <c r="D6" s="13" t="n">
        <f aca="false">B6*C6</f>
        <v>1440</v>
      </c>
    </row>
    <row r="7" customFormat="false" ht="15" hidden="false" customHeight="false" outlineLevel="0" collapsed="false">
      <c r="A7" s="14" t="s">
        <v>130</v>
      </c>
      <c r="B7" s="12" t="n">
        <v>1000</v>
      </c>
      <c r="C7" s="12" t="n">
        <v>0.2</v>
      </c>
      <c r="D7" s="13" t="n">
        <f aca="false">B7*C7</f>
        <v>200</v>
      </c>
    </row>
    <row r="8" customFormat="false" ht="15" hidden="false" customHeight="false" outlineLevel="0" collapsed="false">
      <c r="A8" s="14" t="s">
        <v>131</v>
      </c>
      <c r="B8" s="12" t="n">
        <v>600</v>
      </c>
      <c r="C8" s="12" t="n">
        <v>0.4</v>
      </c>
      <c r="D8" s="13" t="n">
        <f aca="false">B8*C8</f>
        <v>240</v>
      </c>
    </row>
    <row r="9" customFormat="false" ht="15" hidden="false" customHeight="false" outlineLevel="0" collapsed="false">
      <c r="A9" s="14" t="s">
        <v>132</v>
      </c>
      <c r="B9" s="12" t="n">
        <v>500</v>
      </c>
      <c r="C9" s="12" t="n">
        <v>0.7</v>
      </c>
      <c r="D9" s="13" t="n">
        <f aca="false">B9*C9</f>
        <v>350</v>
      </c>
    </row>
    <row r="10" customFormat="false" ht="15" hidden="false" customHeight="false" outlineLevel="0" collapsed="false">
      <c r="A10" s="14" t="s">
        <v>133</v>
      </c>
      <c r="B10" s="12" t="n">
        <v>120</v>
      </c>
      <c r="C10" s="12" t="n">
        <v>10</v>
      </c>
      <c r="D10" s="13" t="n">
        <f aca="false">B10*C10</f>
        <v>1200</v>
      </c>
    </row>
    <row r="11" customFormat="false" ht="15" hidden="false" customHeight="false" outlineLevel="0" collapsed="false">
      <c r="A11" s="14" t="s">
        <v>134</v>
      </c>
      <c r="B11" s="12" t="n">
        <v>80</v>
      </c>
      <c r="C11" s="12" t="n">
        <v>4</v>
      </c>
      <c r="D11" s="13" t="n">
        <f aca="false">B11*C11</f>
        <v>320</v>
      </c>
    </row>
    <row r="12" customFormat="false" ht="15" hidden="false" customHeight="false" outlineLevel="0" collapsed="false">
      <c r="A12" s="14" t="s">
        <v>135</v>
      </c>
      <c r="B12" s="12" t="n">
        <v>50</v>
      </c>
      <c r="C12" s="12" t="n">
        <v>1</v>
      </c>
      <c r="D12" s="13" t="n">
        <f aca="false">B12*C12</f>
        <v>50</v>
      </c>
    </row>
    <row r="13" customFormat="false" ht="15" hidden="false" customHeight="false" outlineLevel="0" collapsed="false">
      <c r="A13" s="14" t="s">
        <v>136</v>
      </c>
      <c r="B13" s="12" t="n">
        <v>40</v>
      </c>
      <c r="C13" s="12" t="n">
        <v>10</v>
      </c>
      <c r="D13" s="13" t="n">
        <f aca="false">B13*C13</f>
        <v>400</v>
      </c>
    </row>
    <row r="14" customFormat="false" ht="15" hidden="false" customHeight="false" outlineLevel="0" collapsed="false">
      <c r="A14" s="14" t="s">
        <v>137</v>
      </c>
      <c r="B14" s="12" t="n">
        <v>35</v>
      </c>
      <c r="C14" s="12" t="n">
        <v>18</v>
      </c>
      <c r="D14" s="13" t="n">
        <f aca="false">B14*C14</f>
        <v>630</v>
      </c>
    </row>
    <row r="15" customFormat="false" ht="15" hidden="false" customHeight="false" outlineLevel="0" collapsed="false">
      <c r="A15" s="14" t="s">
        <v>138</v>
      </c>
      <c r="B15" s="12" t="n">
        <v>25</v>
      </c>
      <c r="C15" s="12" t="n">
        <v>3</v>
      </c>
      <c r="D15" s="13" t="n">
        <f aca="false">B15*C15</f>
        <v>75</v>
      </c>
    </row>
    <row r="16" customFormat="false" ht="15" hidden="false" customHeight="false" outlineLevel="0" collapsed="false">
      <c r="A16" s="14" t="s">
        <v>139</v>
      </c>
      <c r="B16" s="12" t="n">
        <v>150</v>
      </c>
      <c r="C16" s="12" t="n">
        <v>14</v>
      </c>
      <c r="D16" s="13" t="n">
        <f aca="false">B16*C16</f>
        <v>2100</v>
      </c>
    </row>
    <row r="17" customFormat="false" ht="15" hidden="false" customHeight="false" outlineLevel="0" collapsed="false">
      <c r="A17" s="14" t="s">
        <v>140</v>
      </c>
      <c r="B17" s="12" t="n">
        <v>20</v>
      </c>
      <c r="C17" s="12" t="n">
        <v>24</v>
      </c>
      <c r="D17" s="13" t="n">
        <f aca="false">B17*C17</f>
        <v>480</v>
      </c>
    </row>
    <row r="18" customFormat="false" ht="15" hidden="false" customHeight="false" outlineLevel="0" collapsed="false">
      <c r="A18" s="14" t="s">
        <v>141</v>
      </c>
      <c r="B18" s="12" t="n">
        <v>30</v>
      </c>
      <c r="C18" s="12" t="n">
        <v>24</v>
      </c>
      <c r="D18" s="13" t="n">
        <f aca="false">B18*C18</f>
        <v>720</v>
      </c>
    </row>
    <row r="19" customFormat="false" ht="15" hidden="false" customHeight="false" outlineLevel="0" collapsed="false">
      <c r="A19" s="4" t="s">
        <v>142</v>
      </c>
      <c r="B19" s="5"/>
      <c r="C19" s="5"/>
      <c r="D19" s="4" t="n">
        <f aca="false">SUM(D3:D18)</f>
        <v>10735</v>
      </c>
    </row>
    <row r="21" customFormat="false" ht="15" hidden="false" customHeight="false" outlineLevel="0" collapsed="false">
      <c r="A21" s="15" t="s">
        <v>143</v>
      </c>
      <c r="D21" s="16" t="n">
        <f aca="false">D19/1000</f>
        <v>10.735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"/>
    <col collapsed="false" customWidth="true" hidden="false" outlineLevel="0" max="3" min="3" style="0" width="14"/>
    <col collapsed="false" customWidth="true" hidden="false" outlineLevel="0" max="4" min="4" style="0" width="34"/>
  </cols>
  <sheetData>
    <row r="1" customFormat="false" ht="19.7" hidden="false" customHeight="false" outlineLevel="0" collapsed="false">
      <c r="A1" s="1" t="s">
        <v>144</v>
      </c>
    </row>
    <row r="3" customFormat="false" ht="15" hidden="false" customHeight="false" outlineLevel="0" collapsed="false">
      <c r="A3" s="4" t="s">
        <v>145</v>
      </c>
      <c r="B3" s="5"/>
      <c r="C3" s="5"/>
      <c r="D3" s="5"/>
    </row>
    <row r="4" customFormat="false" ht="15" hidden="false" customHeight="false" outlineLevel="0" collapsed="false">
      <c r="A4" s="6" t="s">
        <v>146</v>
      </c>
      <c r="C4" s="13" t="n">
        <f aca="false">Assumptions!$B$15-Assumptions!$B$14</f>
        <v>9</v>
      </c>
      <c r="D4" s="8" t="s">
        <v>147</v>
      </c>
    </row>
    <row r="5" customFormat="false" ht="15" hidden="false" customHeight="false" outlineLevel="0" collapsed="false">
      <c r="A5" s="6" t="s">
        <v>148</v>
      </c>
      <c r="C5" s="13" t="n">
        <f aca="false">(Assumptions!$B$10*C4*24+Assumptions!$B$16*Assumptions!$B$17)/1000</f>
        <v>13.5696</v>
      </c>
      <c r="D5" s="8" t="s">
        <v>149</v>
      </c>
    </row>
    <row r="6" customFormat="false" ht="15" hidden="false" customHeight="false" outlineLevel="0" collapsed="false">
      <c r="A6" s="6" t="s">
        <v>150</v>
      </c>
      <c r="C6" s="13" t="n">
        <f aca="false">C5/Assumptions!$B$19</f>
        <v>4.5232</v>
      </c>
      <c r="D6" s="8" t="s">
        <v>151</v>
      </c>
    </row>
    <row r="7" customFormat="false" ht="15" hidden="false" customHeight="false" outlineLevel="0" collapsed="false">
      <c r="A7" s="4" t="s">
        <v>152</v>
      </c>
      <c r="B7" s="5"/>
      <c r="C7" s="5"/>
      <c r="D7" s="5"/>
    </row>
    <row r="8" customFormat="false" ht="15" hidden="false" customHeight="false" outlineLevel="0" collapsed="false">
      <c r="A8" s="6" t="s">
        <v>153</v>
      </c>
      <c r="C8" s="13" t="n">
        <f aca="false">Assumptions!$B$5*Assumptions!$B$22*Assumptions!$B$26*(Assumptions!$B$23-Assumptions!$B$25)/1000</f>
        <v>3.07032</v>
      </c>
      <c r="D8" s="8" t="s">
        <v>149</v>
      </c>
    </row>
    <row r="9" customFormat="false" ht="15" hidden="false" customHeight="false" outlineLevel="0" collapsed="false">
      <c r="A9" s="6" t="s">
        <v>154</v>
      </c>
      <c r="C9" s="13" t="n">
        <f aca="false">C5+C6</f>
        <v>18.0928</v>
      </c>
      <c r="D9" s="8" t="s">
        <v>149</v>
      </c>
    </row>
    <row r="10" customFormat="false" ht="15" hidden="false" customHeight="false" outlineLevel="0" collapsed="false">
      <c r="A10" s="6" t="s">
        <v>155</v>
      </c>
      <c r="C10" s="13" t="n">
        <f aca="false">MAX(0,C8-C9)</f>
        <v>0</v>
      </c>
      <c r="D10" s="8" t="s">
        <v>151</v>
      </c>
    </row>
    <row r="11" customFormat="false" ht="15" hidden="false" customHeight="false" outlineLevel="0" collapsed="false">
      <c r="A11" s="4" t="s">
        <v>156</v>
      </c>
      <c r="B11" s="5"/>
      <c r="C11" s="5"/>
      <c r="D11" s="5"/>
    </row>
    <row r="12" customFormat="false" ht="15" hidden="false" customHeight="false" outlineLevel="0" collapsed="false">
      <c r="A12" s="6" t="s">
        <v>157</v>
      </c>
      <c r="C12" s="7" t="n">
        <f aca="false">'Electrical Loads'!$D$21</f>
        <v>10.735</v>
      </c>
      <c r="D12" s="8" t="s">
        <v>8</v>
      </c>
    </row>
    <row r="13" customFormat="false" ht="15" hidden="false" customHeight="false" outlineLevel="0" collapsed="false">
      <c r="A13" s="9" t="s">
        <v>158</v>
      </c>
      <c r="C13" s="16" t="n">
        <f aca="false">C12+C6+C10</f>
        <v>15.2582</v>
      </c>
      <c r="D13" s="8" t="s">
        <v>8</v>
      </c>
    </row>
    <row r="14" customFormat="false" ht="15" hidden="false" customHeight="false" outlineLevel="0" collapsed="false">
      <c r="A14" s="6" t="s">
        <v>19</v>
      </c>
      <c r="C14" s="13" t="n">
        <f aca="false">Assumptions!$B$34*Assumptions!$B$35*Assumptions!$B$37</f>
        <v>26.076</v>
      </c>
      <c r="D14" s="8" t="s">
        <v>8</v>
      </c>
    </row>
    <row r="15" customFormat="false" ht="15" hidden="false" customHeight="false" outlineLevel="0" collapsed="false">
      <c r="A15" s="9" t="s">
        <v>159</v>
      </c>
      <c r="C15" s="16" t="n">
        <f aca="false">C14-C13</f>
        <v>10.8178</v>
      </c>
      <c r="D15" s="8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"/>
    <col collapsed="false" customWidth="true" hidden="false" outlineLevel="0" max="3" min="3" style="0" width="14"/>
    <col collapsed="false" customWidth="true" hidden="false" outlineLevel="0" max="4" min="4" style="0" width="34"/>
  </cols>
  <sheetData>
    <row r="1" customFormat="false" ht="19.7" hidden="false" customHeight="false" outlineLevel="0" collapsed="false">
      <c r="A1" s="1" t="s">
        <v>160</v>
      </c>
    </row>
    <row r="3" customFormat="false" ht="15" hidden="false" customHeight="false" outlineLevel="0" collapsed="false">
      <c r="A3" s="4" t="s">
        <v>161</v>
      </c>
      <c r="B3" s="5"/>
      <c r="C3" s="5"/>
      <c r="D3" s="5"/>
    </row>
    <row r="4" customFormat="false" ht="15" hidden="false" customHeight="false" outlineLevel="0" collapsed="false">
      <c r="A4" s="6" t="s">
        <v>162</v>
      </c>
      <c r="C4" s="13" t="n">
        <f aca="false">Assumptions!$B$12-Assumptions!$B$13</f>
        <v>30</v>
      </c>
      <c r="D4" s="8" t="s">
        <v>147</v>
      </c>
    </row>
    <row r="5" customFormat="false" ht="15" hidden="false" customHeight="false" outlineLevel="0" collapsed="false">
      <c r="A5" s="6" t="s">
        <v>163</v>
      </c>
      <c r="C5" s="13" t="n">
        <f aca="false">Assumptions!$B$10*C4*24/1000</f>
        <v>29.232</v>
      </c>
      <c r="D5" s="8" t="s">
        <v>149</v>
      </c>
    </row>
    <row r="6" customFormat="false" ht="15" hidden="false" customHeight="false" outlineLevel="0" collapsed="false">
      <c r="A6" s="6" t="s">
        <v>153</v>
      </c>
      <c r="C6" s="13" t="n">
        <f aca="false">Assumptions!$B$5*Assumptions!$B$22*Assumptions!$B$26*(Assumptions!$B$23-Assumptions!$B$24)/1000</f>
        <v>3.7216</v>
      </c>
      <c r="D6" s="8" t="s">
        <v>149</v>
      </c>
    </row>
    <row r="7" customFormat="false" ht="15" hidden="false" customHeight="false" outlineLevel="0" collapsed="false">
      <c r="A7" s="9" t="s">
        <v>24</v>
      </c>
      <c r="C7" s="16" t="n">
        <f aca="false">C5+C6</f>
        <v>32.9536</v>
      </c>
      <c r="D7" s="8" t="s">
        <v>149</v>
      </c>
    </row>
    <row r="8" customFormat="false" ht="15" hidden="false" customHeight="false" outlineLevel="0" collapsed="false">
      <c r="A8" s="4" t="s">
        <v>164</v>
      </c>
      <c r="B8" s="5"/>
      <c r="C8" s="5"/>
      <c r="D8" s="5"/>
    </row>
    <row r="9" customFormat="false" ht="15" hidden="false" customHeight="false" outlineLevel="0" collapsed="false">
      <c r="A9" s="6" t="s">
        <v>157</v>
      </c>
      <c r="C9" s="7" t="n">
        <f aca="false">'Electrical Loads'!$D$21</f>
        <v>10.735</v>
      </c>
      <c r="D9" s="8" t="s">
        <v>8</v>
      </c>
    </row>
    <row r="10" customFormat="false" ht="15" hidden="false" customHeight="false" outlineLevel="0" collapsed="false">
      <c r="A10" s="6" t="s">
        <v>165</v>
      </c>
      <c r="C10" s="13" t="n">
        <f aca="false">C7/Assumptions!$B$20</f>
        <v>14.9789090909091</v>
      </c>
      <c r="D10" s="8" t="s">
        <v>8</v>
      </c>
    </row>
    <row r="11" customFormat="false" ht="15" hidden="false" customHeight="false" outlineLevel="0" collapsed="false">
      <c r="A11" s="6" t="s">
        <v>166</v>
      </c>
      <c r="C11" s="13" t="n">
        <f aca="false">Assumptions!$B$34*Assumptions!$B$36*Assumptions!$B$37</f>
        <v>10.824</v>
      </c>
      <c r="D11" s="8" t="s">
        <v>8</v>
      </c>
    </row>
    <row r="12" customFormat="false" ht="15" hidden="false" customHeight="false" outlineLevel="0" collapsed="false">
      <c r="A12" s="9" t="s">
        <v>167</v>
      </c>
      <c r="C12" s="16" t="n">
        <f aca="false">C9+C10-C11</f>
        <v>14.8899090909091</v>
      </c>
      <c r="D12" s="8" t="s">
        <v>17</v>
      </c>
    </row>
    <row r="13" customFormat="false" ht="15" hidden="false" customHeight="false" outlineLevel="0" collapsed="false">
      <c r="A13" s="4" t="s">
        <v>168</v>
      </c>
      <c r="B13" s="5"/>
      <c r="C13" s="5"/>
      <c r="D13" s="5"/>
    </row>
    <row r="14" customFormat="false" ht="15" hidden="false" customHeight="false" outlineLevel="0" collapsed="false">
      <c r="A14" s="6" t="s">
        <v>169</v>
      </c>
      <c r="C14" s="13" t="n">
        <f aca="false">Assumptions!$B$28/Assumptions!$B$29*Assumptions!$B$30</f>
        <v>6.41666666666667</v>
      </c>
      <c r="D14" s="8" t="s">
        <v>170</v>
      </c>
    </row>
    <row r="15" customFormat="false" ht="15" hidden="false" customHeight="false" outlineLevel="0" collapsed="false">
      <c r="A15" s="9" t="s">
        <v>171</v>
      </c>
      <c r="C15" s="16" t="n">
        <f aca="false">(C9+C7/Assumptions!$B$20-C11)/(Assumptions!$B$28+C14/Assumptions!$B$20)</f>
        <v>2.32050531286895</v>
      </c>
      <c r="D15" s="8" t="s">
        <v>30</v>
      </c>
    </row>
    <row r="16" customFormat="false" ht="15" hidden="false" customHeight="false" outlineLevel="0" collapsed="false">
      <c r="A16" s="6" t="s">
        <v>172</v>
      </c>
      <c r="C16" s="13" t="n">
        <f aca="false">C14*C15</f>
        <v>14.8899090909091</v>
      </c>
      <c r="D16" s="8" t="s">
        <v>149</v>
      </c>
    </row>
    <row r="17" customFormat="false" ht="15" hidden="false" customHeight="false" outlineLevel="0" collapsed="false">
      <c r="A17" s="9" t="s">
        <v>173</v>
      </c>
      <c r="C17" s="16" t="n">
        <f aca="false">Assumptions!$B$28*C15/Assumptions!$B$29/Assumptions!$B$31</f>
        <v>2.70725619834711</v>
      </c>
      <c r="D17" s="8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"/>
    <col collapsed="false" customWidth="true" hidden="false" outlineLevel="0" max="3" min="3" style="0" width="14"/>
    <col collapsed="false" customWidth="true" hidden="false" outlineLevel="0" max="4" min="4" style="0" width="34"/>
  </cols>
  <sheetData>
    <row r="1" customFormat="false" ht="19.7" hidden="false" customHeight="false" outlineLevel="0" collapsed="false">
      <c r="A1" s="1" t="s">
        <v>174</v>
      </c>
    </row>
    <row r="3" customFormat="false" ht="15" hidden="false" customHeight="false" outlineLevel="0" collapsed="false">
      <c r="A3" s="4" t="s">
        <v>175</v>
      </c>
      <c r="B3" s="5"/>
      <c r="C3" s="5"/>
      <c r="D3" s="5"/>
    </row>
    <row r="4" customFormat="false" ht="15" hidden="false" customHeight="false" outlineLevel="0" collapsed="false">
      <c r="A4" s="9" t="s">
        <v>7</v>
      </c>
      <c r="C4" s="16" t="n">
        <f aca="false">Assumptions!$B$39*Assumptions!$B$40</f>
        <v>270</v>
      </c>
      <c r="D4" s="8" t="s">
        <v>8</v>
      </c>
    </row>
    <row r="5" customFormat="false" ht="15" hidden="false" customHeight="false" outlineLevel="0" collapsed="false">
      <c r="A5" s="9" t="s">
        <v>176</v>
      </c>
      <c r="C5" s="16" t="n">
        <f aca="false">C4-Assumptions!$B$41</f>
        <v>190</v>
      </c>
      <c r="D5" s="8" t="s">
        <v>8</v>
      </c>
    </row>
    <row r="6" customFormat="false" ht="15" hidden="false" customHeight="false" outlineLevel="0" collapsed="false">
      <c r="A6" s="6" t="s">
        <v>177</v>
      </c>
      <c r="B6" s="5"/>
      <c r="C6" s="7" t="n">
        <f aca="false">'Summer Day'!C13</f>
        <v>15.2582</v>
      </c>
      <c r="D6" s="8" t="s">
        <v>8</v>
      </c>
    </row>
    <row r="7" customFormat="false" ht="15" hidden="false" customHeight="false" outlineLevel="0" collapsed="false">
      <c r="A7" s="6" t="s">
        <v>178</v>
      </c>
      <c r="C7" s="7" t="n">
        <f aca="false">'Winter Weekend'!C12</f>
        <v>14.8899090909091</v>
      </c>
      <c r="D7" s="8" t="s">
        <v>8</v>
      </c>
    </row>
    <row r="8" customFormat="false" ht="15" hidden="false" customHeight="false" outlineLevel="0" collapsed="false">
      <c r="A8" s="6" t="s">
        <v>179</v>
      </c>
      <c r="C8" s="13" t="n">
        <f aca="false">IF('Summer Day'!C13&gt;0,C5/'Summer Day'!C13,0)</f>
        <v>12.4523207193509</v>
      </c>
      <c r="D8" s="8" t="s">
        <v>27</v>
      </c>
    </row>
    <row r="9" customFormat="false" ht="15" hidden="false" customHeight="false" outlineLevel="0" collapsed="false">
      <c r="A9" s="9" t="s">
        <v>180</v>
      </c>
      <c r="C9" s="16" t="n">
        <f aca="false">IF('Winter Weekend'!C12&gt;0,C5/'Winter Weekend'!C12,999)</f>
        <v>12.7603196795878</v>
      </c>
      <c r="D9" s="8" t="s">
        <v>27</v>
      </c>
    </row>
    <row r="10" customFormat="false" ht="15" hidden="false" customHeight="false" outlineLevel="0" collapsed="false">
      <c r="A10" s="4" t="s">
        <v>181</v>
      </c>
      <c r="B10" s="5"/>
      <c r="C10" s="5"/>
      <c r="D10" s="5"/>
    </row>
    <row r="11" customFormat="false" ht="15" hidden="false" customHeight="false" outlineLevel="0" collapsed="false">
      <c r="A11" s="6" t="s">
        <v>182</v>
      </c>
      <c r="C11" s="7" t="n">
        <f aca="false">'Winter Weekend'!C15</f>
        <v>2.32050531286895</v>
      </c>
      <c r="D11" s="8" t="s">
        <v>30</v>
      </c>
    </row>
    <row r="12" customFormat="false" ht="15" hidden="false" customHeight="false" outlineLevel="0" collapsed="false">
      <c r="A12" s="6" t="s">
        <v>183</v>
      </c>
      <c r="C12" s="7" t="n">
        <f aca="false">'Winter Weekend'!C17</f>
        <v>2.70725619834711</v>
      </c>
      <c r="D12" s="8" t="s">
        <v>33</v>
      </c>
    </row>
    <row r="13" customFormat="false" ht="15" hidden="false" customHeight="false" outlineLevel="0" collapsed="false">
      <c r="A13" s="4" t="s">
        <v>184</v>
      </c>
      <c r="B13" s="5"/>
      <c r="C13" s="5"/>
      <c r="D13" s="5"/>
    </row>
    <row r="14" customFormat="false" ht="15" hidden="false" customHeight="false" outlineLevel="0" collapsed="false">
      <c r="A14" s="6" t="s">
        <v>185</v>
      </c>
      <c r="C14" s="13" t="n">
        <f aca="false">C4/Assumptions!$B$42</f>
        <v>245.454545454545</v>
      </c>
      <c r="D14" s="8" t="s">
        <v>13</v>
      </c>
    </row>
    <row r="15" customFormat="false" ht="15" hidden="false" customHeight="false" outlineLevel="0" collapsed="false">
      <c r="A15" s="9" t="s">
        <v>186</v>
      </c>
      <c r="C15" s="16" t="n">
        <f aca="false">Assumptions!$B$41/Assumptions!$B$42</f>
        <v>72.7272727272727</v>
      </c>
      <c r="D15" s="8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2026-06-26T14:28:26Z</dcterms:created>
  <dc:creator>openpyxl</dc:creator>
  <dc:description/>
  <dc:language>en-US</dc:language>
  <cp:lastModifiedBy/>
  <dcterms:modified xsi:type="dcterms:W3CDTF">2026-06-26T14:28:26Z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